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e Deals" sheetId="1" r:id="rId5"/>
    <sheet state="visible" name="Omzet Prognose" sheetId="2" r:id="rId6"/>
  </sheets>
  <definedNames>
    <definedName hidden="1" localSheetId="0" name="_xlnm._FilterDatabase">'Alle Deals'!$A$1:$AC$170</definedName>
  </definedNames>
  <calcPr/>
</workbook>
</file>

<file path=xl/sharedStrings.xml><?xml version="1.0" encoding="utf-8"?>
<sst xmlns="http://schemas.openxmlformats.org/spreadsheetml/2006/main" count="363" uniqueCount="187">
  <si>
    <t>Record-ID</t>
  </si>
  <si>
    <t>Naam deal</t>
  </si>
  <si>
    <t>Stadium deal</t>
  </si>
  <si>
    <t>Sluitingsdatum</t>
  </si>
  <si>
    <t>Dealeigenaar</t>
  </si>
  <si>
    <t>Bedrag</t>
  </si>
  <si>
    <t>Status</t>
  </si>
  <si>
    <t>Gewonnen</t>
  </si>
  <si>
    <t>Te Winnen</t>
  </si>
  <si>
    <t>Totale Omzet</t>
  </si>
  <si>
    <t>Jaar</t>
  </si>
  <si>
    <t>Maand</t>
  </si>
  <si>
    <t>Datum</t>
  </si>
  <si>
    <t>HUUR5 - Jeanne Kramer - Espel + ducdalf - 0642847911</t>
  </si>
  <si>
    <t>Verloren</t>
  </si>
  <si>
    <t>DIGITAAL PLUS - Gaari - Delft</t>
  </si>
  <si>
    <t>Offerte -  HUUR3 - Elif borucu - Utrecht, luxury Zaal</t>
  </si>
  <si>
    <t>Offerte -  HUUR3 - Andreea Virban - Posthuys Restaurant, Leerdam</t>
  </si>
  <si>
    <t>HUUR3 - Jhinkoe - Restaurant 1892 Zoetermeer- 0634501556</t>
  </si>
  <si>
    <t>HUUR5 - Stienstra - Ewijk, Slot Doddendael - (06)47774550</t>
  </si>
  <si>
    <t>Offerte -  HUUR5 - Amy Meijer - Oss</t>
  </si>
  <si>
    <t>DIGITAAL PREMIUM - Ernst - Wet and wild Alphen aan den rijn</t>
  </si>
  <si>
    <t>Akkoord</t>
  </si>
  <si>
    <t>Bruiloft Love Story Pakket - Van der Arend - Chateau st Gerlach- 0653221554</t>
  </si>
  <si>
    <t>Bruiloft Love Story Pakket - Janine Braakhuis - Koebrugge Vriezenveen Overijssel- 0621808708</t>
  </si>
  <si>
    <t>Bruiloft Love Story Pakket - Boerendonk - Polderzicht Barendrecht- 0622518138</t>
  </si>
  <si>
    <t>Offerte Bruiloft Love Story Pakket - Whitney Vankan - Straelen, Verbeek</t>
  </si>
  <si>
    <t>HUUR3 - Slusser - Rotterdam- 0624825658</t>
  </si>
  <si>
    <t>Bruiloft Love Story Pakket - Beute - S’gravenzande- 0642349852</t>
  </si>
  <si>
    <t>HUUR3 - Koktas - Lelystad, zaal Elegance- 0642684445</t>
  </si>
  <si>
    <t>HUUR3 - Nandpersad - Den Haag zaal Mercanto- 0655016093</t>
  </si>
  <si>
    <t>Bruiloft Love Story Pakket - Michelle Lookerman - Abel Restautant Poortugaal- 0626400505</t>
  </si>
  <si>
    <t>Offerte -  HUUR3 - Chantal Detillon - Posthuis Beugen</t>
  </si>
  <si>
    <t>Offerte Bruiloft Love Story Pakket - Faicha Sardar - Simplicity in Rijen</t>
  </si>
  <si>
    <t>HUUR5 - Martens - Zevenhuizen - 0620536562</t>
  </si>
  <si>
    <t>Offerte -  HUUR3 - Chantal de Goede - Baarn, Kasteel de Hooge Vuursche</t>
  </si>
  <si>
    <t>HUUR3 - de Jonge - Alphen aan den Rijn- 0612988372</t>
  </si>
  <si>
    <t>Offerte -  HUUR5 - Marijne Schipper - Poortugaal, Abel restaurant</t>
  </si>
  <si>
    <t>Offerte Bruiloft Love Story Pakket - Jeffrey Winston - Wapen van Zoetermeer</t>
  </si>
  <si>
    <t>Offerte Bruiloft Love Story Pakket - Kirsten Spence - Rotterdam</t>
  </si>
  <si>
    <t>Offerte -  HUUR5 - Gianni Van der Weerd - Nijkerk Salentijn</t>
  </si>
  <si>
    <t>Bruiloft Love Story Pakket - Van Utrecht - Buitenplaats Land van Es Strijen- 0623523536</t>
  </si>
  <si>
    <t>Offerte -  HUUR3 - Fouwsja Azadkhan - Almere</t>
  </si>
  <si>
    <t>Bruiloft Love Story Pakket - Vig - De Landgoederij Bunnik- +31638398863</t>
  </si>
  <si>
    <t>Offerte Bruiloft Love Story Pakket - Melissa Van den heuvel - S’gravenzande</t>
  </si>
  <si>
    <t>HUUR3 - Aldib - Waarbeek zalen hengelo- 0640208900</t>
  </si>
  <si>
    <t>HUUR3 - Astrid Langstraat - Klaaswaal, Koningshoeve- 0627007170</t>
  </si>
  <si>
    <t>Offerte -  HUUR3 - Patricia Manusiwa - Oudwoude</t>
  </si>
  <si>
    <t>Offerte Bruiloft Love Story Pakket - Kirsten Misset - Strandtent Zuid Den Haag</t>
  </si>
  <si>
    <t>HUUR5 - Spruit - Zonneveldlaan 2a, Valkenburg - +31625149542</t>
  </si>
  <si>
    <t>Offerte -  HUUR3 - Desiree Schmitz - Haarlem</t>
  </si>
  <si>
    <t>HUUR5 - Sarista Soekhai - J'adore in Vlaardingen - +31642138062</t>
  </si>
  <si>
    <t>Offerte Bruiloft Love Story Pakket - Madelon Van de Pol - Thuis bij Fien Wijchen</t>
  </si>
  <si>
    <t>Offerte Bruiloft Love Story Pakket - Ann Hessels - Rotterdam ijsselmonde</t>
  </si>
  <si>
    <t>DIGITAAL PREMIUM - Van Haaften - Kasteel Montfoort</t>
  </si>
  <si>
    <t>Offerte Bruiloft Love Story Pakket - Max Van Brandwijk - Grand Hotel Amrath Kurhaus - Kurzaal</t>
  </si>
  <si>
    <t>HUUR5 - soeteman - rotterdam charloisse kerksingel 9 - 0616012726</t>
  </si>
  <si>
    <t>HEEL - Janmaat - Noordwijk - 0620667185</t>
  </si>
  <si>
    <t>Offerte -  HUUR3 - Laila Schipper - Den haag oude kustlijn</t>
  </si>
  <si>
    <t>Offerte -  HUUR5 - Linda Willemsen - Enschede</t>
  </si>
  <si>
    <t>HUUR3 - Aalbers - Havelte- 0651435096</t>
  </si>
  <si>
    <t>Bruiloft Love Story Pakket - Braam - Beachclub sunrise Best- 0623651897</t>
  </si>
  <si>
    <t>HUUR5 - Van Hek - The Lagoon Maasmechelen - 0648742356</t>
  </si>
  <si>
    <t>DIGITAAL PLUS - Van Leeuwen - Restaurant Onze Jongens in Hoek van Holland</t>
  </si>
  <si>
    <t>Offerte -  HUUR5 - Dewi Kroos - Dordrecht, hockey vereniging</t>
  </si>
  <si>
    <t>Offerte Bruiloft Love Story Pakket - Gill Engelhard - Roelofarendsveen</t>
  </si>
  <si>
    <t>Offerte -  HUUR5 - Jasper Martens - Omgeving Nijmegen</t>
  </si>
  <si>
    <t>Bruiloft Love Story Pakket - Gelissen - Poortugaal- 0636597842</t>
  </si>
  <si>
    <t>HUUR3 - Savkin - Nederweert- 0655782555</t>
  </si>
  <si>
    <t>Offerte -  HUUR3 - Marine Tapanian - Oosterzele</t>
  </si>
  <si>
    <t>Offerte -  HUUR3 - La Pater - Vianen</t>
  </si>
  <si>
    <t>Offerte -  HUUR3 - Yvette Ramak - Brasserie buitenhuis, valkenburgsemeer</t>
  </si>
  <si>
    <t>DIGITAAL PREMIUM - Sprunken - Goirle</t>
  </si>
  <si>
    <t>Offerte -  HUUR5 - Judith Nunag - Brabants Bont Gedrop</t>
  </si>
  <si>
    <t>Offerte Bruiloft Love Story Pakket - Judith Ursais - Brabant bond</t>
  </si>
  <si>
    <t>HUUR3 - Somai - ‘S-gravenzande- +31614377685</t>
  </si>
  <si>
    <t>Offerte Bruiloft Love Story Pakket - Sageeta Somai - De viersprong ‘s-gravenzande</t>
  </si>
  <si>
    <t>Offerte -  HUUR3 - Dionne Van Maren - Hoeve Landzicht</t>
  </si>
  <si>
    <t>Bruiloft Love Story Pakket - De folter - De salamander, Dongen- +31654673600</t>
  </si>
  <si>
    <t>HUUR3 - Monnik - Vieuw Almere- 0651501040</t>
  </si>
  <si>
    <t>BRUILOFT - Offerte Love Story Pakket - Demi Hensgens</t>
  </si>
  <si>
    <t>Toesjka Mohabiersing</t>
  </si>
  <si>
    <t>DIGITAAL PREMIUM - Vis - Wapen van Zoetermeer</t>
  </si>
  <si>
    <t>DIGITAAL PREMIUM - Koswal - Horeca Zoetermeer</t>
  </si>
  <si>
    <t>HUUR3 - Saas - Schiedam- 0654751364</t>
  </si>
  <si>
    <t>HUUR3 - Dianthe Kooij - Zoeterwoude- 0651660425</t>
  </si>
  <si>
    <t>Offerte -  HUUR3 - Monica Schijven - Partycentrum</t>
  </si>
  <si>
    <t>Offerte -  HUUR3 - marlou jongenelen - bellemenberg 16</t>
  </si>
  <si>
    <t>HUUR3 - Jonker - Noordwijkerhout, Landgoed Tespelduyn- 0681615940</t>
  </si>
  <si>
    <t>Offerte Bruiloft Love Story Pakket - Irene Van de wetering - Oud Beijerland</t>
  </si>
  <si>
    <t>Offerte -  HUUR3 - Noëlla Kriele - Den Haag</t>
  </si>
  <si>
    <t>Bruiloft Love Story Pakket - van den Anker - Eindhoven- 0647368999</t>
  </si>
  <si>
    <t>DIGITAAL PREMIUM - schiffelers - broere ijsselstein</t>
  </si>
  <si>
    <t>HUUR5 - Brouns - Vaalsbroek, Vaals - 0641603345</t>
  </si>
  <si>
    <t>Bruiloft Love Story Pakket - Boerlage - Boerengoed Enspijk- 0646414156</t>
  </si>
  <si>
    <t>HUUR3 - Voorn - Wassenaar De Oostdorperhoeve- 0633025100</t>
  </si>
  <si>
    <t>DIGITAAL PREMIUM - Kuba - Rotterdam</t>
  </si>
  <si>
    <t>Offerte -  HUUR5 - Zenath Rijs - Leidschendam near the Mall</t>
  </si>
  <si>
    <t>Bruiloft Love Story Pakket - Kappen - Restaurant Clemens in Oss- 0654746066</t>
  </si>
  <si>
    <t>Offerte -  HUUR3 - Fatma Sahin - Rotterdam</t>
  </si>
  <si>
    <t>HUUR3 - Van der ende - Poeldijk, nieuweweg 57k- 0642578901</t>
  </si>
  <si>
    <t>Offerte - Huur 6 uur - 2x - Shudeska Westzaan</t>
  </si>
  <si>
    <t>HUUR3 - van Lagen - Enschede- +31638233912</t>
  </si>
  <si>
    <t>DIGITAAL PREMIUM - Kerkhof - Te werve Rijswijk</t>
  </si>
  <si>
    <t>DIGITAAL - Hofman - Down under - Nieuwegein</t>
  </si>
  <si>
    <t>DIGITAAL PREMIUM - Kerkdijk - De Lantaarn in Hellendoorn</t>
  </si>
  <si>
    <t>HUUR3 - Van der Staal - Vlaardingen- 0639596111</t>
  </si>
  <si>
    <t>HUUR3 - Natoewal - Capelle aan den IJssel - Stormpolder- +31613212905</t>
  </si>
  <si>
    <t>Offerte -  HUUR3 - Lisa Van der sluis - 23.30</t>
  </si>
  <si>
    <t>BEDRIJF - Offerte - Dutch Innovation Factory</t>
  </si>
  <si>
    <t>DIGITAAL PREMIUM - Andrade - Rotterdam</t>
  </si>
  <si>
    <t>HUUR5 - Jagesar - Krimpen aan den IJssel, Industrieweg 2 - 0645270372</t>
  </si>
  <si>
    <t>DIGITAAL PLUS - Van Andel - Sliedrecht</t>
  </si>
  <si>
    <t>Offerte Bruiloft Love Story Pakket - Rowena Maas - Hotel de Leijhof in Oisterwijk</t>
  </si>
  <si>
    <t>HUUR5 - Zeegers - Maassluis, Wipperspark - 0639838668</t>
  </si>
  <si>
    <t>HUUR3 - Elgammal - Rijswijk mistura movement- 0622062049</t>
  </si>
  <si>
    <t>HUUR3 - Rolvink - Tull en t waal- 0681968077</t>
  </si>
  <si>
    <t>DIGITAAL PREMIUM - De Wolf-Beukers - Mantel 5 Zuidland</t>
  </si>
  <si>
    <t>HUUR5 - Kevin Smit - Den Haag strandtent 14 - 0642600570</t>
  </si>
  <si>
    <t>Offerte -  HUUR3 - Michelle Boog - Zwartewaal, Maasdijk 18</t>
  </si>
  <si>
    <t>DIGITAAL PLUS - Schut - Ypenburg den haag</t>
  </si>
  <si>
    <t>DIGITAAL PLUS - Baars - Parimaribar</t>
  </si>
  <si>
    <t>HUUR3 - Mahabiersing - Rotterdam- 0620452431</t>
  </si>
  <si>
    <t>HUUR3 - Ennis - Kite Pharma hoofddorp- 0627743809</t>
  </si>
  <si>
    <t>DIGITAAL PLUS - Philips - Den haag</t>
  </si>
  <si>
    <t>DIGITAAL PREMIUM - van Zunderd - Goirle</t>
  </si>
  <si>
    <t>DIGITAAL PLUS - Hennevelt - Wijk bij Duurstede</t>
  </si>
  <si>
    <t>Fotostrip Akkoord</t>
  </si>
  <si>
    <t>/hb</t>
  </si>
  <si>
    <t>Lasso Events - RAI</t>
  </si>
  <si>
    <t>HUUR3 - Jakhari - Rotterdam- 0681195530</t>
  </si>
  <si>
    <t>Klant Afsluiten (SMS)</t>
  </si>
  <si>
    <t>HUUR3 - Blom - Muller en co Berkel en Rodenrijs- 0628776948</t>
  </si>
  <si>
    <t>HUUR3 - Meemelink - Hillegom- (06)20141183</t>
  </si>
  <si>
    <t>DIGITAAL PREMIUM - Karels - Rotterdam</t>
  </si>
  <si>
    <t>HUUR3 - van Lamoen - Grand Café 1837 Nootdorp- 0652442494</t>
  </si>
  <si>
    <t>HUUR3 - Westmaas - Zoetermeer, Dh.J.WPaltelaan 105 2712PT- 0624602549</t>
  </si>
  <si>
    <t>Offerte Bruiloft Love Story Pakket - Renée Beek - Hoorn dampte 16</t>
  </si>
  <si>
    <t>Offerte DIGITAAL - Delisha - Rotterdam</t>
  </si>
  <si>
    <t>DIGITAAL PREMIUM - Wetering - Katwijk</t>
  </si>
  <si>
    <t>DIGITAAL PLUS - Shobha Maniram - De werf 11 den haag</t>
  </si>
  <si>
    <t>DIGITAAL PREMIUM - Rongen - Privé feestje zaaltje Zwijndrecht</t>
  </si>
  <si>
    <t>HUUR3 - Oosterom - Alphen aan den Rijn- 0646407274</t>
  </si>
  <si>
    <t>DIGITAAL PLUS - Jaddoe - Rotterdam</t>
  </si>
  <si>
    <t>HUUR3 - Jada/Nathe - Lunchroom Stout Rijswijk</t>
  </si>
  <si>
    <t>DIGITAAL - Shaira Milliard - La Marie in Ypenburg</t>
  </si>
  <si>
    <t>HUUR3 - Klein - Vlaardingen thuis- 0624693748</t>
  </si>
  <si>
    <t>Offerte DIGITAAL - De wit - Hilversum</t>
  </si>
  <si>
    <t>DIGITAAL - Akbar - Den Haag</t>
  </si>
  <si>
    <t>DIGITAAL PREMIUM - van eijk - nootdorp</t>
  </si>
  <si>
    <t>HUUR3 - Nieuwenburg - Pijnacker- 0624901832</t>
  </si>
  <si>
    <t>HUUR3 - Reinders - Lelystad flevoland- 0622354083</t>
  </si>
  <si>
    <t>Offerte -  DIGITAAL - Scarlet Raap - Utrecht , Leidsche Rijn</t>
  </si>
  <si>
    <t>DIGITAAL PREMIUM - Hertogs - Eindhoven</t>
  </si>
  <si>
    <t>HUUR4 - Rishmie Chotkan</t>
  </si>
  <si>
    <t>HUUR3 - Gadjradj - Vlaardingen- 0653917001</t>
  </si>
  <si>
    <t>HUUR3 - Rewi - Dew Mandir Gaslaan 74- 0641479779</t>
  </si>
  <si>
    <t>HUUR3 - Metin-Berk - Rotterdam park de heerlijkheid- 0615240230</t>
  </si>
  <si>
    <t>HUUR3 - Martina - Ridderkerk, SV ten Donk- +31638344892</t>
  </si>
  <si>
    <t>HUUR3 - Van Duijn - Katwijk, Roskam- 0640272167</t>
  </si>
  <si>
    <t>HUUR3 - Granviel - Jadore Vlaardingen- 0657638341</t>
  </si>
  <si>
    <t>Bruiloft Love Story Pakket - Bushra Ali - Tropical- 0624902135</t>
  </si>
  <si>
    <t>Offerte -  HUUR3 - Irma van Duijvenboden - Sportpark de Kooltuin katwijk</t>
  </si>
  <si>
    <t>DIGITAAL PLUS - Oosthuizen - Almerec</t>
  </si>
  <si>
    <t>BEDRIJF - Mitchell OFFERMANS - Kerkrade, De eetkamer Kerkrade- +31646108468</t>
  </si>
  <si>
    <t>DIGITAAL PREMIUM - Leeuwestein - Dordrecht</t>
  </si>
  <si>
    <t>Offerte -  HUUR5 - Mindor Walrave - Leiden/ Leiderdorp, locatie is nog even onbekend</t>
  </si>
  <si>
    <t>DIGITAAL PREMIUM - De Waard - Golfclub Hitland Nieuwenkerk aan den IJssel</t>
  </si>
  <si>
    <t>DIGITAAL PREMIUM - Beekmans - Den Bosch</t>
  </si>
  <si>
    <t>DIGITAAL PLUS - Gret - Voorschoten</t>
  </si>
  <si>
    <t>HUUR5 - van der wulp - loodstraat 39 2718 RV zoetermeer - 0651409658</t>
  </si>
  <si>
    <t>DIGITAAL PLUS - Tjin Sie-Knip - Den Haag</t>
  </si>
  <si>
    <t>HUUR3 - Prins - Urmond- 0614235413</t>
  </si>
  <si>
    <t>DIGITAAL PREMIUM - De Jong - Op boot. Vertrek bij ssRotterdam</t>
  </si>
  <si>
    <t>Offerte -  HUUR3 - Shirley Ras - Vitesse delft in Delft</t>
  </si>
  <si>
    <t>Offerte DIGITAAL - Ata - Amsterdam osdorp</t>
  </si>
  <si>
    <t>DIGITAAL - Zwaal - Oud-alblas</t>
  </si>
  <si>
    <t>HUUR3 - Dina Hieder / ROC - Den Haag, Tinwef 14- 0634148977</t>
  </si>
  <si>
    <t>Offerte -  HUUR5 - Deborah Fennema - Straatweg 30 3051BG Rotterdam</t>
  </si>
  <si>
    <t>Offerte -  DIGITAAL - Patricia van Spronsen - Rijswijk</t>
  </si>
  <si>
    <t>HUUR3 - Van Rijk-Brouwer - Zoetermeer, thuis- 0646001688</t>
  </si>
  <si>
    <t>AI Photobooth - Billy Grace</t>
  </si>
  <si>
    <t>DIGITAAL - Annemarie Houtman - Amsterdam</t>
  </si>
  <si>
    <t>HUUR3 - Broekhof - Nobel leiden- 0031683536315</t>
  </si>
  <si>
    <t>DIGITAAL PREMIUM - Evers - Bennebroekerweg 800 2134 AB Hoofddorp</t>
  </si>
  <si>
    <t>DIGITAAL PLUS - Boedhoe - Leidschendam</t>
  </si>
  <si>
    <t>DIGITAAL PLUS - Beek - Vlaardingen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</si>
</sst>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sz val="8.0"/>
      <color rgb="FF434343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Font="1"/>
    <xf borderId="0" fillId="2" fontId="2" numFmtId="0" xfId="0" applyAlignment="1" applyFont="1">
      <alignment horizontal="right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horizontal="right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horizontal="right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5" fontId="2" numFmtId="0" xfId="0" applyAlignment="1" applyFont="1">
      <alignment horizontal="right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47625</xdr:rowOff>
    </xdr:from>
    <xdr:ext cx="5715000" cy="3533775"/>
    <xdr:pic>
      <xdr:nvPicPr>
        <xdr:cNvPr id="191275392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4.5"/>
    <col customWidth="1" min="3" max="3" width="13.75"/>
    <col customWidth="1" min="4" max="4" width="19.75"/>
    <col customWidth="1" min="5" max="5" width="13.88"/>
    <col customWidth="1" min="6" max="6" width="11.25"/>
    <col customWidth="1" min="7" max="7" width="7.25"/>
    <col customWidth="1" min="8" max="8" width="11.38"/>
    <col customWidth="1" min="9" max="10" width="14.25"/>
    <col customWidth="1" min="11" max="11" width="6.38"/>
    <col customWidth="1" min="12" max="12" width="5.13"/>
    <col customWidth="1" min="13" max="13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>
        <v>3.82263037147E11</v>
      </c>
      <c r="B2" s="1" t="s">
        <v>13</v>
      </c>
      <c r="C2" s="1" t="s">
        <v>14</v>
      </c>
      <c r="D2" s="4">
        <v>46347.291666666664</v>
      </c>
      <c r="E2" s="3"/>
      <c r="F2" s="1">
        <v>499.0</v>
      </c>
      <c r="G2" s="2" t="str">
        <f t="shared" ref="G2:G93" si="1">IF(C2="Verloren", "Verloren", IF(OR(C2="Wachten op Klant", C2="Klant Nabellen", C2="Herinnering", C2="In Gesprek", C2="Klant Nabellen (SMS)"), "Te Winnen", "Omzet"))
</f>
        <v>Verloren</v>
      </c>
      <c r="H2" s="5">
        <f t="shared" ref="H2:H170" si="2">if(G2="omzet",F2,0)</f>
        <v>0</v>
      </c>
      <c r="I2" s="5">
        <f t="shared" ref="I2:I111" si="3">if(G2="te winnen",F2,0)</f>
        <v>0</v>
      </c>
      <c r="J2" s="5">
        <f t="shared" ref="J2:J170" si="4">if(C2="Verloren",0,F2)</f>
        <v>0</v>
      </c>
      <c r="K2" s="5" t="str">
        <f t="shared" ref="K2:K170" si="5">LEFT(D2,4)</f>
        <v>2026</v>
      </c>
      <c r="L2" s="5">
        <f t="shared" ref="L2:L170" si="6">month(D2)</f>
        <v>11</v>
      </c>
      <c r="M2" s="6" t="str">
        <f t="shared" ref="M2:M170" si="7">TEXT(D2, "YYYY-MM")</f>
        <v>2026-11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>
        <v>4.28710528234E11</v>
      </c>
      <c r="B3" s="1" t="s">
        <v>15</v>
      </c>
      <c r="C3" s="1" t="s">
        <v>14</v>
      </c>
      <c r="D3" s="4">
        <v>46340.291666666664</v>
      </c>
      <c r="E3" s="3"/>
      <c r="F3" s="1">
        <v>169.0</v>
      </c>
      <c r="G3" s="2" t="str">
        <f t="shared" si="1"/>
        <v>Verloren</v>
      </c>
      <c r="H3" s="5">
        <f t="shared" si="2"/>
        <v>0</v>
      </c>
      <c r="I3" s="5">
        <f t="shared" si="3"/>
        <v>0</v>
      </c>
      <c r="J3" s="5">
        <f t="shared" si="4"/>
        <v>0</v>
      </c>
      <c r="K3" s="5" t="str">
        <f t="shared" si="5"/>
        <v>2026</v>
      </c>
      <c r="L3" s="5">
        <f t="shared" si="6"/>
        <v>11</v>
      </c>
      <c r="M3" s="6" t="str">
        <f t="shared" si="7"/>
        <v>2026-11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>
        <v>3.38427330762E11</v>
      </c>
      <c r="B4" s="1" t="s">
        <v>16</v>
      </c>
      <c r="C4" s="1" t="s">
        <v>14</v>
      </c>
      <c r="D4" s="4">
        <v>46333.291666666664</v>
      </c>
      <c r="E4" s="3"/>
      <c r="F4" s="1">
        <v>325.0</v>
      </c>
      <c r="G4" s="2" t="str">
        <f t="shared" si="1"/>
        <v>Verloren</v>
      </c>
      <c r="H4" s="5">
        <f t="shared" si="2"/>
        <v>0</v>
      </c>
      <c r="I4" s="5">
        <f t="shared" si="3"/>
        <v>0</v>
      </c>
      <c r="J4" s="5">
        <f t="shared" si="4"/>
        <v>0</v>
      </c>
      <c r="K4" s="5" t="str">
        <f t="shared" si="5"/>
        <v>2026</v>
      </c>
      <c r="L4" s="5">
        <f t="shared" si="6"/>
        <v>11</v>
      </c>
      <c r="M4" s="6" t="str">
        <f t="shared" si="7"/>
        <v>2026-11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1">
        <v>3.36526550217E11</v>
      </c>
      <c r="B5" s="1" t="s">
        <v>17</v>
      </c>
      <c r="C5" s="1" t="s">
        <v>14</v>
      </c>
      <c r="D5" s="4">
        <v>46329.291666666664</v>
      </c>
      <c r="E5" s="3"/>
      <c r="F5" s="1">
        <v>299.0</v>
      </c>
      <c r="G5" s="2" t="str">
        <f t="shared" si="1"/>
        <v>Verloren</v>
      </c>
      <c r="H5" s="5">
        <f t="shared" si="2"/>
        <v>0</v>
      </c>
      <c r="I5" s="5">
        <f t="shared" si="3"/>
        <v>0</v>
      </c>
      <c r="J5" s="5">
        <f t="shared" si="4"/>
        <v>0</v>
      </c>
      <c r="K5" s="5" t="str">
        <f t="shared" si="5"/>
        <v>2026</v>
      </c>
      <c r="L5" s="5">
        <f t="shared" si="6"/>
        <v>11</v>
      </c>
      <c r="M5" s="6" t="str">
        <f t="shared" si="7"/>
        <v>2026-11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1">
        <v>4.49731280068E11</v>
      </c>
      <c r="B6" s="1" t="s">
        <v>18</v>
      </c>
      <c r="C6" s="1" t="s">
        <v>14</v>
      </c>
      <c r="D6" s="4">
        <v>46318.291666666664</v>
      </c>
      <c r="E6" s="3"/>
      <c r="F6" s="1">
        <v>299.0</v>
      </c>
      <c r="G6" s="2" t="str">
        <f t="shared" si="1"/>
        <v>Verloren</v>
      </c>
      <c r="H6" s="5">
        <f t="shared" si="2"/>
        <v>0</v>
      </c>
      <c r="I6" s="5">
        <f t="shared" si="3"/>
        <v>0</v>
      </c>
      <c r="J6" s="5">
        <f t="shared" si="4"/>
        <v>0</v>
      </c>
      <c r="K6" s="5" t="str">
        <f t="shared" si="5"/>
        <v>2026</v>
      </c>
      <c r="L6" s="5">
        <f t="shared" si="6"/>
        <v>10</v>
      </c>
      <c r="M6" s="6" t="str">
        <f t="shared" si="7"/>
        <v>2026-10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">
        <v>4.39514811578E11</v>
      </c>
      <c r="B7" s="1" t="s">
        <v>19</v>
      </c>
      <c r="C7" s="1" t="s">
        <v>14</v>
      </c>
      <c r="D7" s="4">
        <v>46311.291666666664</v>
      </c>
      <c r="E7" s="3"/>
      <c r="F7" s="1">
        <v>731.0</v>
      </c>
      <c r="G7" s="2" t="str">
        <f t="shared" si="1"/>
        <v>Verloren</v>
      </c>
      <c r="H7" s="5">
        <f t="shared" si="2"/>
        <v>0</v>
      </c>
      <c r="I7" s="5">
        <f t="shared" si="3"/>
        <v>0</v>
      </c>
      <c r="J7" s="5">
        <f t="shared" si="4"/>
        <v>0</v>
      </c>
      <c r="K7" s="5" t="str">
        <f t="shared" si="5"/>
        <v>2026</v>
      </c>
      <c r="L7" s="5">
        <f t="shared" si="6"/>
        <v>10</v>
      </c>
      <c r="M7" s="6" t="str">
        <f t="shared" si="7"/>
        <v>2026-10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">
        <v>3.05881395418E11</v>
      </c>
      <c r="B8" s="1" t="s">
        <v>20</v>
      </c>
      <c r="C8" s="1" t="s">
        <v>14</v>
      </c>
      <c r="D8" s="4">
        <v>46291.291666666664</v>
      </c>
      <c r="E8" s="3"/>
      <c r="F8" s="1">
        <v>631.0</v>
      </c>
      <c r="G8" s="2" t="str">
        <f t="shared" si="1"/>
        <v>Verloren</v>
      </c>
      <c r="H8" s="5">
        <f t="shared" si="2"/>
        <v>0</v>
      </c>
      <c r="I8" s="5">
        <f t="shared" si="3"/>
        <v>0</v>
      </c>
      <c r="J8" s="5">
        <f t="shared" si="4"/>
        <v>0</v>
      </c>
      <c r="K8" s="5" t="str">
        <f t="shared" si="5"/>
        <v>2026</v>
      </c>
      <c r="L8" s="5">
        <f t="shared" si="6"/>
        <v>9</v>
      </c>
      <c r="M8" s="6" t="str">
        <f t="shared" si="7"/>
        <v>2026-09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7">
        <v>4.67336509681E11</v>
      </c>
      <c r="B9" s="7" t="s">
        <v>21</v>
      </c>
      <c r="C9" s="7" t="s">
        <v>22</v>
      </c>
      <c r="D9" s="8">
        <v>46289.291666666664</v>
      </c>
      <c r="E9" s="9"/>
      <c r="F9" s="7">
        <v>225.0</v>
      </c>
      <c r="G9" s="10" t="str">
        <f t="shared" si="1"/>
        <v>Omzet</v>
      </c>
      <c r="H9" s="11">
        <f t="shared" si="2"/>
        <v>225</v>
      </c>
      <c r="I9" s="11">
        <f t="shared" si="3"/>
        <v>0</v>
      </c>
      <c r="J9" s="11">
        <f t="shared" si="4"/>
        <v>225</v>
      </c>
      <c r="K9" s="11" t="str">
        <f t="shared" si="5"/>
        <v>2026</v>
      </c>
      <c r="L9" s="11">
        <f t="shared" si="6"/>
        <v>9</v>
      </c>
      <c r="M9" s="12" t="str">
        <f t="shared" si="7"/>
        <v>2026-09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">
        <v>4.31445824701E11</v>
      </c>
      <c r="B10" s="1" t="s">
        <v>23</v>
      </c>
      <c r="C10" s="1" t="s">
        <v>14</v>
      </c>
      <c r="D10" s="4">
        <v>46283.291666666664</v>
      </c>
      <c r="E10" s="3"/>
      <c r="F10" s="1">
        <v>927.0</v>
      </c>
      <c r="G10" s="2" t="str">
        <f t="shared" si="1"/>
        <v>Verloren</v>
      </c>
      <c r="H10" s="5">
        <f t="shared" si="2"/>
        <v>0</v>
      </c>
      <c r="I10" s="5">
        <f t="shared" si="3"/>
        <v>0</v>
      </c>
      <c r="J10" s="5">
        <f t="shared" si="4"/>
        <v>0</v>
      </c>
      <c r="K10" s="5" t="str">
        <f t="shared" si="5"/>
        <v>2026</v>
      </c>
      <c r="L10" s="5">
        <f t="shared" si="6"/>
        <v>9</v>
      </c>
      <c r="M10" s="6" t="str">
        <f t="shared" si="7"/>
        <v>2026-09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>
        <v>3.73951273209E11</v>
      </c>
      <c r="B11" s="1" t="s">
        <v>24</v>
      </c>
      <c r="C11" s="1" t="s">
        <v>14</v>
      </c>
      <c r="D11" s="4">
        <v>46277.291666666664</v>
      </c>
      <c r="E11" s="3"/>
      <c r="F11" s="1">
        <v>599.0</v>
      </c>
      <c r="G11" s="2" t="str">
        <f t="shared" si="1"/>
        <v>Verloren</v>
      </c>
      <c r="H11" s="5">
        <f t="shared" si="2"/>
        <v>0</v>
      </c>
      <c r="I11" s="5">
        <f t="shared" si="3"/>
        <v>0</v>
      </c>
      <c r="J11" s="5">
        <f t="shared" si="4"/>
        <v>0</v>
      </c>
      <c r="K11" s="5" t="str">
        <f t="shared" si="5"/>
        <v>2026</v>
      </c>
      <c r="L11" s="5">
        <f t="shared" si="6"/>
        <v>9</v>
      </c>
      <c r="M11" s="6" t="str">
        <f t="shared" si="7"/>
        <v>2026-09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>
        <v>4.67271980259E11</v>
      </c>
      <c r="B12" s="1" t="s">
        <v>25</v>
      </c>
      <c r="C12" s="1" t="s">
        <v>14</v>
      </c>
      <c r="D12" s="4">
        <v>46276.291666666664</v>
      </c>
      <c r="E12" s="3"/>
      <c r="F12" s="1">
        <v>975.0</v>
      </c>
      <c r="G12" s="2" t="str">
        <f t="shared" si="1"/>
        <v>Verloren</v>
      </c>
      <c r="H12" s="5">
        <f t="shared" si="2"/>
        <v>0</v>
      </c>
      <c r="I12" s="5">
        <f t="shared" si="3"/>
        <v>0</v>
      </c>
      <c r="J12" s="5">
        <f t="shared" si="4"/>
        <v>0</v>
      </c>
      <c r="K12" s="5" t="str">
        <f t="shared" si="5"/>
        <v>2026</v>
      </c>
      <c r="L12" s="5">
        <f t="shared" si="6"/>
        <v>9</v>
      </c>
      <c r="M12" s="6" t="str">
        <f t="shared" si="7"/>
        <v>2026-09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">
        <v>3.50925646054E11</v>
      </c>
      <c r="B13" s="1" t="s">
        <v>26</v>
      </c>
      <c r="C13" s="1" t="s">
        <v>14</v>
      </c>
      <c r="D13" s="4">
        <v>46276.291666666664</v>
      </c>
      <c r="E13" s="3"/>
      <c r="F13" s="1">
        <v>599.0</v>
      </c>
      <c r="G13" s="2" t="str">
        <f t="shared" si="1"/>
        <v>Verloren</v>
      </c>
      <c r="H13" s="5">
        <f t="shared" si="2"/>
        <v>0</v>
      </c>
      <c r="I13" s="5">
        <f t="shared" si="3"/>
        <v>0</v>
      </c>
      <c r="J13" s="5">
        <f t="shared" si="4"/>
        <v>0</v>
      </c>
      <c r="K13" s="5" t="str">
        <f t="shared" si="5"/>
        <v>2026</v>
      </c>
      <c r="L13" s="5">
        <f t="shared" si="6"/>
        <v>9</v>
      </c>
      <c r="M13" s="6" t="str">
        <f t="shared" si="7"/>
        <v>2026-09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">
        <v>4.52394536181E11</v>
      </c>
      <c r="B14" s="1" t="s">
        <v>27</v>
      </c>
      <c r="C14" s="1" t="s">
        <v>14</v>
      </c>
      <c r="D14" s="4">
        <v>46270.291666666664</v>
      </c>
      <c r="E14" s="3"/>
      <c r="F14" s="1">
        <v>299.0</v>
      </c>
      <c r="G14" s="2" t="str">
        <f t="shared" si="1"/>
        <v>Verloren</v>
      </c>
      <c r="H14" s="5">
        <f t="shared" si="2"/>
        <v>0</v>
      </c>
      <c r="I14" s="5">
        <f t="shared" si="3"/>
        <v>0</v>
      </c>
      <c r="J14" s="5">
        <f t="shared" si="4"/>
        <v>0</v>
      </c>
      <c r="K14" s="5" t="str">
        <f t="shared" si="5"/>
        <v>2026</v>
      </c>
      <c r="L14" s="5">
        <f t="shared" si="6"/>
        <v>9</v>
      </c>
      <c r="M14" s="6" t="str">
        <f t="shared" si="7"/>
        <v>2026-09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7">
        <v>4.3409184381E11</v>
      </c>
      <c r="B15" s="7" t="s">
        <v>28</v>
      </c>
      <c r="C15" s="7" t="s">
        <v>22</v>
      </c>
      <c r="D15" s="8">
        <v>46270.291666666664</v>
      </c>
      <c r="E15" s="9"/>
      <c r="F15" s="7">
        <v>599.0</v>
      </c>
      <c r="G15" s="10" t="str">
        <f t="shared" si="1"/>
        <v>Omzet</v>
      </c>
      <c r="H15" s="11">
        <f t="shared" si="2"/>
        <v>599</v>
      </c>
      <c r="I15" s="11">
        <f t="shared" si="3"/>
        <v>0</v>
      </c>
      <c r="J15" s="11">
        <f t="shared" si="4"/>
        <v>599</v>
      </c>
      <c r="K15" s="11" t="str">
        <f t="shared" si="5"/>
        <v>2026</v>
      </c>
      <c r="L15" s="11">
        <f t="shared" si="6"/>
        <v>9</v>
      </c>
      <c r="M15" s="12" t="str">
        <f t="shared" si="7"/>
        <v>2026-09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">
        <v>4.33832264906E11</v>
      </c>
      <c r="B16" s="1" t="s">
        <v>29</v>
      </c>
      <c r="C16" s="1" t="s">
        <v>14</v>
      </c>
      <c r="D16" s="4">
        <v>46270.291666666664</v>
      </c>
      <c r="E16" s="3"/>
      <c r="F16" s="1">
        <v>299.0</v>
      </c>
      <c r="G16" s="2" t="str">
        <f t="shared" si="1"/>
        <v>Verloren</v>
      </c>
      <c r="H16" s="5">
        <f t="shared" si="2"/>
        <v>0</v>
      </c>
      <c r="I16" s="5">
        <f t="shared" si="3"/>
        <v>0</v>
      </c>
      <c r="J16" s="5">
        <f t="shared" si="4"/>
        <v>0</v>
      </c>
      <c r="K16" s="5" t="str">
        <f t="shared" si="5"/>
        <v>2026</v>
      </c>
      <c r="L16" s="5">
        <f t="shared" si="6"/>
        <v>9</v>
      </c>
      <c r="M16" s="6" t="str">
        <f t="shared" si="7"/>
        <v>2026-09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1">
        <v>4.30470165729E11</v>
      </c>
      <c r="B17" s="1" t="s">
        <v>30</v>
      </c>
      <c r="C17" s="1" t="s">
        <v>14</v>
      </c>
      <c r="D17" s="4">
        <v>46270.291666666664</v>
      </c>
      <c r="E17" s="3"/>
      <c r="F17" s="1">
        <v>299.0</v>
      </c>
      <c r="G17" s="2" t="str">
        <f t="shared" si="1"/>
        <v>Verloren</v>
      </c>
      <c r="H17" s="5">
        <f t="shared" si="2"/>
        <v>0</v>
      </c>
      <c r="I17" s="5">
        <f t="shared" si="3"/>
        <v>0</v>
      </c>
      <c r="J17" s="5">
        <f t="shared" si="4"/>
        <v>0</v>
      </c>
      <c r="K17" s="5" t="str">
        <f t="shared" si="5"/>
        <v>2026</v>
      </c>
      <c r="L17" s="5">
        <f t="shared" si="6"/>
        <v>9</v>
      </c>
      <c r="M17" s="6" t="str">
        <f t="shared" si="7"/>
        <v>2026-09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7">
        <v>3.79060757691E11</v>
      </c>
      <c r="B18" s="7" t="s">
        <v>31</v>
      </c>
      <c r="C18" s="7" t="s">
        <v>22</v>
      </c>
      <c r="D18" s="8">
        <v>46270.291666666664</v>
      </c>
      <c r="E18" s="9"/>
      <c r="F18" s="7">
        <v>299.0</v>
      </c>
      <c r="G18" s="10" t="str">
        <f t="shared" si="1"/>
        <v>Omzet</v>
      </c>
      <c r="H18" s="11">
        <f t="shared" si="2"/>
        <v>299</v>
      </c>
      <c r="I18" s="11">
        <f t="shared" si="3"/>
        <v>0</v>
      </c>
      <c r="J18" s="11">
        <f t="shared" si="4"/>
        <v>299</v>
      </c>
      <c r="K18" s="11" t="str">
        <f t="shared" si="5"/>
        <v>2026</v>
      </c>
      <c r="L18" s="11">
        <f t="shared" si="6"/>
        <v>9</v>
      </c>
      <c r="M18" s="12" t="str">
        <f t="shared" si="7"/>
        <v>2026-09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">
        <v>3.30521832661E11</v>
      </c>
      <c r="B19" s="1" t="s">
        <v>32</v>
      </c>
      <c r="C19" s="1" t="s">
        <v>14</v>
      </c>
      <c r="D19" s="4">
        <v>46270.291666666664</v>
      </c>
      <c r="E19" s="3"/>
      <c r="F19" s="1">
        <v>299.0</v>
      </c>
      <c r="G19" s="2" t="str">
        <f t="shared" si="1"/>
        <v>Verloren</v>
      </c>
      <c r="H19" s="5">
        <f t="shared" si="2"/>
        <v>0</v>
      </c>
      <c r="I19" s="5">
        <f t="shared" si="3"/>
        <v>0</v>
      </c>
      <c r="J19" s="5">
        <f t="shared" si="4"/>
        <v>0</v>
      </c>
      <c r="K19" s="5" t="str">
        <f t="shared" si="5"/>
        <v>2026</v>
      </c>
      <c r="L19" s="5">
        <f t="shared" si="6"/>
        <v>9</v>
      </c>
      <c r="M19" s="6" t="str">
        <f t="shared" si="7"/>
        <v>2026-09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>
        <v>3.17547198697E11</v>
      </c>
      <c r="B20" s="1" t="s">
        <v>33</v>
      </c>
      <c r="C20" s="1" t="s">
        <v>14</v>
      </c>
      <c r="D20" s="4">
        <v>46270.291666666664</v>
      </c>
      <c r="E20" s="3"/>
      <c r="F20" s="1">
        <v>599.0</v>
      </c>
      <c r="G20" s="2" t="str">
        <f t="shared" si="1"/>
        <v>Verloren</v>
      </c>
      <c r="H20" s="5">
        <f t="shared" si="2"/>
        <v>0</v>
      </c>
      <c r="I20" s="5">
        <f t="shared" si="3"/>
        <v>0</v>
      </c>
      <c r="J20" s="5">
        <f t="shared" si="4"/>
        <v>0</v>
      </c>
      <c r="K20" s="5" t="str">
        <f t="shared" si="5"/>
        <v>2026</v>
      </c>
      <c r="L20" s="5">
        <f t="shared" si="6"/>
        <v>9</v>
      </c>
      <c r="M20" s="6" t="str">
        <f t="shared" si="7"/>
        <v>2026-09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">
        <v>4.47357589701E11</v>
      </c>
      <c r="B21" s="7" t="s">
        <v>34</v>
      </c>
      <c r="C21" s="7" t="s">
        <v>22</v>
      </c>
      <c r="D21" s="8">
        <v>46269.291666666664</v>
      </c>
      <c r="E21" s="9"/>
      <c r="F21" s="7">
        <v>499.0</v>
      </c>
      <c r="G21" s="10" t="str">
        <f t="shared" si="1"/>
        <v>Omzet</v>
      </c>
      <c r="H21" s="11">
        <f t="shared" si="2"/>
        <v>499</v>
      </c>
      <c r="I21" s="11">
        <f t="shared" si="3"/>
        <v>0</v>
      </c>
      <c r="J21" s="11">
        <f t="shared" si="4"/>
        <v>499</v>
      </c>
      <c r="K21" s="11" t="str">
        <f t="shared" si="5"/>
        <v>2026</v>
      </c>
      <c r="L21" s="11">
        <f t="shared" si="6"/>
        <v>9</v>
      </c>
      <c r="M21" s="12" t="str">
        <f t="shared" si="7"/>
        <v>2026-09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1">
        <v>3.13436331234E11</v>
      </c>
      <c r="B22" s="1" t="s">
        <v>35</v>
      </c>
      <c r="C22" s="1" t="s">
        <v>14</v>
      </c>
      <c r="D22" s="4">
        <v>46264.291666666664</v>
      </c>
      <c r="E22" s="3"/>
      <c r="F22" s="1">
        <v>299.0</v>
      </c>
      <c r="G22" s="2" t="str">
        <f t="shared" si="1"/>
        <v>Verloren</v>
      </c>
      <c r="H22" s="5">
        <f t="shared" si="2"/>
        <v>0</v>
      </c>
      <c r="I22" s="5">
        <f t="shared" si="3"/>
        <v>0</v>
      </c>
      <c r="J22" s="5">
        <f t="shared" si="4"/>
        <v>0</v>
      </c>
      <c r="K22" s="5" t="str">
        <f t="shared" si="5"/>
        <v>2026</v>
      </c>
      <c r="L22" s="5">
        <f t="shared" si="6"/>
        <v>8</v>
      </c>
      <c r="M22" s="6" t="str">
        <f t="shared" si="7"/>
        <v>2026-08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1">
        <v>4.53334415577E11</v>
      </c>
      <c r="B23" s="1" t="s">
        <v>36</v>
      </c>
      <c r="C23" s="1" t="s">
        <v>14</v>
      </c>
      <c r="D23" s="4">
        <v>46263.291666666664</v>
      </c>
      <c r="E23" s="3"/>
      <c r="F23" s="1">
        <v>299.0</v>
      </c>
      <c r="G23" s="2" t="str">
        <f t="shared" si="1"/>
        <v>Verloren</v>
      </c>
      <c r="H23" s="5">
        <f t="shared" si="2"/>
        <v>0</v>
      </c>
      <c r="I23" s="5">
        <f t="shared" si="3"/>
        <v>0</v>
      </c>
      <c r="J23" s="5">
        <f t="shared" si="4"/>
        <v>0</v>
      </c>
      <c r="K23" s="5" t="str">
        <f t="shared" si="5"/>
        <v>2026</v>
      </c>
      <c r="L23" s="5">
        <f t="shared" si="6"/>
        <v>8</v>
      </c>
      <c r="M23" s="6" t="str">
        <f t="shared" si="7"/>
        <v>2026-08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>
        <v>3.50781961443E11</v>
      </c>
      <c r="B24" s="1" t="s">
        <v>37</v>
      </c>
      <c r="C24" s="1" t="s">
        <v>14</v>
      </c>
      <c r="D24" s="4">
        <v>46248.291666666664</v>
      </c>
      <c r="E24" s="3"/>
      <c r="F24" s="1">
        <v>599.0</v>
      </c>
      <c r="G24" s="2" t="str">
        <f t="shared" si="1"/>
        <v>Verloren</v>
      </c>
      <c r="H24" s="5">
        <f t="shared" si="2"/>
        <v>0</v>
      </c>
      <c r="I24" s="5">
        <f t="shared" si="3"/>
        <v>0</v>
      </c>
      <c r="J24" s="5">
        <f t="shared" si="4"/>
        <v>0</v>
      </c>
      <c r="K24" s="5" t="str">
        <f t="shared" si="5"/>
        <v>2026</v>
      </c>
      <c r="L24" s="5">
        <f t="shared" si="6"/>
        <v>8</v>
      </c>
      <c r="M24" s="6" t="str">
        <f t="shared" si="7"/>
        <v>2026-08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1">
        <v>3.60292418761E11</v>
      </c>
      <c r="B25" s="1" t="s">
        <v>38</v>
      </c>
      <c r="C25" s="1" t="s">
        <v>14</v>
      </c>
      <c r="D25" s="4">
        <v>46242.291666666664</v>
      </c>
      <c r="E25" s="3"/>
      <c r="F25" s="1">
        <v>599.0</v>
      </c>
      <c r="G25" s="2" t="str">
        <f t="shared" si="1"/>
        <v>Verloren</v>
      </c>
      <c r="H25" s="5">
        <f t="shared" si="2"/>
        <v>0</v>
      </c>
      <c r="I25" s="5">
        <f t="shared" si="3"/>
        <v>0</v>
      </c>
      <c r="J25" s="5">
        <f t="shared" si="4"/>
        <v>0</v>
      </c>
      <c r="K25" s="5" t="str">
        <f t="shared" si="5"/>
        <v>2026</v>
      </c>
      <c r="L25" s="5">
        <f t="shared" si="6"/>
        <v>8</v>
      </c>
      <c r="M25" s="6" t="str">
        <f t="shared" si="7"/>
        <v>2026-08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1">
        <v>2.738325281E11</v>
      </c>
      <c r="B26" s="1" t="s">
        <v>39</v>
      </c>
      <c r="C26" s="1" t="s">
        <v>14</v>
      </c>
      <c r="D26" s="4">
        <v>46242.291666666664</v>
      </c>
      <c r="E26" s="3"/>
      <c r="F26" s="1">
        <v>599.0</v>
      </c>
      <c r="G26" s="2" t="str">
        <f t="shared" si="1"/>
        <v>Verloren</v>
      </c>
      <c r="H26" s="5">
        <f t="shared" si="2"/>
        <v>0</v>
      </c>
      <c r="I26" s="5">
        <f t="shared" si="3"/>
        <v>0</v>
      </c>
      <c r="J26" s="5">
        <f t="shared" si="4"/>
        <v>0</v>
      </c>
      <c r="K26" s="5" t="str">
        <f t="shared" si="5"/>
        <v>2026</v>
      </c>
      <c r="L26" s="5">
        <f t="shared" si="6"/>
        <v>8</v>
      </c>
      <c r="M26" s="6" t="str">
        <f t="shared" si="7"/>
        <v>2026-08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1">
        <v>2.97672340703E11</v>
      </c>
      <c r="B27" s="1" t="s">
        <v>40</v>
      </c>
      <c r="C27" s="1" t="s">
        <v>14</v>
      </c>
      <c r="D27" s="4">
        <v>46238.291666666664</v>
      </c>
      <c r="E27" s="3"/>
      <c r="F27" s="1">
        <v>581.0</v>
      </c>
      <c r="G27" s="2" t="str">
        <f t="shared" si="1"/>
        <v>Verloren</v>
      </c>
      <c r="H27" s="5">
        <f t="shared" si="2"/>
        <v>0</v>
      </c>
      <c r="I27" s="5">
        <f t="shared" si="3"/>
        <v>0</v>
      </c>
      <c r="J27" s="5">
        <f t="shared" si="4"/>
        <v>0</v>
      </c>
      <c r="K27" s="5" t="str">
        <f t="shared" si="5"/>
        <v>2026</v>
      </c>
      <c r="L27" s="5">
        <f t="shared" si="6"/>
        <v>8</v>
      </c>
      <c r="M27" s="6" t="str">
        <f t="shared" si="7"/>
        <v>2026-08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1">
        <v>4.31785218248E11</v>
      </c>
      <c r="B28" s="1" t="s">
        <v>41</v>
      </c>
      <c r="C28" s="1" t="s">
        <v>14</v>
      </c>
      <c r="D28" s="4">
        <v>46224.291666666664</v>
      </c>
      <c r="E28" s="3"/>
      <c r="F28" s="1">
        <v>605.0</v>
      </c>
      <c r="G28" s="2" t="str">
        <f t="shared" si="1"/>
        <v>Verloren</v>
      </c>
      <c r="H28" s="5">
        <f t="shared" si="2"/>
        <v>0</v>
      </c>
      <c r="I28" s="5">
        <f t="shared" si="3"/>
        <v>0</v>
      </c>
      <c r="J28" s="5">
        <f t="shared" si="4"/>
        <v>0</v>
      </c>
      <c r="K28" s="5" t="str">
        <f t="shared" si="5"/>
        <v>2026</v>
      </c>
      <c r="L28" s="5">
        <f t="shared" si="6"/>
        <v>7</v>
      </c>
      <c r="M28" s="6" t="str">
        <f t="shared" si="7"/>
        <v>2026-07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>
        <v>2.79051204794E11</v>
      </c>
      <c r="B29" s="1" t="s">
        <v>42</v>
      </c>
      <c r="C29" s="1" t="s">
        <v>14</v>
      </c>
      <c r="D29" s="4">
        <v>46222.291666666664</v>
      </c>
      <c r="E29" s="3"/>
      <c r="F29" s="1">
        <v>379.0</v>
      </c>
      <c r="G29" s="2" t="str">
        <f t="shared" si="1"/>
        <v>Verloren</v>
      </c>
      <c r="H29" s="5">
        <f t="shared" si="2"/>
        <v>0</v>
      </c>
      <c r="I29" s="5">
        <f t="shared" si="3"/>
        <v>0</v>
      </c>
      <c r="J29" s="5">
        <f t="shared" si="4"/>
        <v>0</v>
      </c>
      <c r="K29" s="5" t="str">
        <f t="shared" si="5"/>
        <v>2026</v>
      </c>
      <c r="L29" s="5">
        <f t="shared" si="6"/>
        <v>7</v>
      </c>
      <c r="M29" s="6" t="str">
        <f t="shared" si="7"/>
        <v>2026-07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>
        <v>4.52886449388E11</v>
      </c>
      <c r="B30" s="1" t="s">
        <v>43</v>
      </c>
      <c r="C30" s="1" t="s">
        <v>14</v>
      </c>
      <c r="D30" s="4">
        <v>46221.291666666664</v>
      </c>
      <c r="E30" s="3"/>
      <c r="F30" s="1">
        <v>825.0</v>
      </c>
      <c r="G30" s="2" t="str">
        <f t="shared" si="1"/>
        <v>Verloren</v>
      </c>
      <c r="H30" s="5">
        <f t="shared" si="2"/>
        <v>0</v>
      </c>
      <c r="I30" s="5">
        <f t="shared" si="3"/>
        <v>0</v>
      </c>
      <c r="J30" s="5">
        <f t="shared" si="4"/>
        <v>0</v>
      </c>
      <c r="K30" s="5" t="str">
        <f t="shared" si="5"/>
        <v>2026</v>
      </c>
      <c r="L30" s="5">
        <f t="shared" si="6"/>
        <v>7</v>
      </c>
      <c r="M30" s="6" t="str">
        <f t="shared" si="7"/>
        <v>2026-07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7">
        <v>3.37339091153E11</v>
      </c>
      <c r="B31" s="7" t="s">
        <v>44</v>
      </c>
      <c r="C31" s="7" t="s">
        <v>22</v>
      </c>
      <c r="D31" s="8">
        <v>46221.291666666664</v>
      </c>
      <c r="E31" s="9"/>
      <c r="F31" s="7">
        <v>599.0</v>
      </c>
      <c r="G31" s="10" t="str">
        <f t="shared" si="1"/>
        <v>Omzet</v>
      </c>
      <c r="H31" s="11">
        <f t="shared" si="2"/>
        <v>599</v>
      </c>
      <c r="I31" s="11">
        <f t="shared" si="3"/>
        <v>0</v>
      </c>
      <c r="J31" s="11">
        <f t="shared" si="4"/>
        <v>599</v>
      </c>
      <c r="K31" s="11" t="str">
        <f t="shared" si="5"/>
        <v>2026</v>
      </c>
      <c r="L31" s="11">
        <f t="shared" si="6"/>
        <v>7</v>
      </c>
      <c r="M31" s="12" t="str">
        <f t="shared" si="7"/>
        <v>2026-07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1">
        <v>4.43145130198E11</v>
      </c>
      <c r="B32" s="1" t="s">
        <v>45</v>
      </c>
      <c r="C32" s="1" t="s">
        <v>14</v>
      </c>
      <c r="D32" s="4">
        <v>46214.291666666664</v>
      </c>
      <c r="E32" s="3"/>
      <c r="F32" s="1">
        <v>299.0</v>
      </c>
      <c r="G32" s="2" t="str">
        <f t="shared" si="1"/>
        <v>Verloren</v>
      </c>
      <c r="H32" s="5">
        <f t="shared" si="2"/>
        <v>0</v>
      </c>
      <c r="I32" s="5">
        <f t="shared" si="3"/>
        <v>0</v>
      </c>
      <c r="J32" s="5">
        <f t="shared" si="4"/>
        <v>0</v>
      </c>
      <c r="K32" s="5" t="str">
        <f t="shared" si="5"/>
        <v>2026</v>
      </c>
      <c r="L32" s="5">
        <f t="shared" si="6"/>
        <v>7</v>
      </c>
      <c r="M32" s="6" t="str">
        <f t="shared" si="7"/>
        <v>2026-07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1">
        <v>3.81231116508E11</v>
      </c>
      <c r="B33" s="1" t="s">
        <v>46</v>
      </c>
      <c r="C33" s="1" t="s">
        <v>14</v>
      </c>
      <c r="D33" s="4">
        <v>46214.291666666664</v>
      </c>
      <c r="E33" s="3"/>
      <c r="F33" s="1">
        <v>299.0</v>
      </c>
      <c r="G33" s="2" t="str">
        <f t="shared" si="1"/>
        <v>Verloren</v>
      </c>
      <c r="H33" s="5">
        <f t="shared" si="2"/>
        <v>0</v>
      </c>
      <c r="I33" s="5">
        <f t="shared" si="3"/>
        <v>0</v>
      </c>
      <c r="J33" s="5">
        <f t="shared" si="4"/>
        <v>0</v>
      </c>
      <c r="K33" s="5" t="str">
        <f t="shared" si="5"/>
        <v>2026</v>
      </c>
      <c r="L33" s="5">
        <f t="shared" si="6"/>
        <v>7</v>
      </c>
      <c r="M33" s="6" t="str">
        <f t="shared" si="7"/>
        <v>2026-07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1">
        <v>3.65112129783E11</v>
      </c>
      <c r="B34" s="1" t="s">
        <v>47</v>
      </c>
      <c r="C34" s="1" t="s">
        <v>14</v>
      </c>
      <c r="D34" s="4">
        <v>46213.291666666664</v>
      </c>
      <c r="E34" s="3"/>
      <c r="F34" s="1">
        <v>299.0</v>
      </c>
      <c r="G34" s="2" t="str">
        <f t="shared" si="1"/>
        <v>Verloren</v>
      </c>
      <c r="H34" s="5">
        <f t="shared" si="2"/>
        <v>0</v>
      </c>
      <c r="I34" s="5">
        <f t="shared" si="3"/>
        <v>0</v>
      </c>
      <c r="J34" s="5">
        <f t="shared" si="4"/>
        <v>0</v>
      </c>
      <c r="K34" s="5" t="str">
        <f t="shared" si="5"/>
        <v>2026</v>
      </c>
      <c r="L34" s="5">
        <f t="shared" si="6"/>
        <v>7</v>
      </c>
      <c r="M34" s="6" t="str">
        <f t="shared" si="7"/>
        <v>2026-07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>
        <v>3.31727006918E11</v>
      </c>
      <c r="B35" s="1" t="s">
        <v>48</v>
      </c>
      <c r="C35" s="1" t="s">
        <v>14</v>
      </c>
      <c r="D35" s="4">
        <v>46213.291666666664</v>
      </c>
      <c r="E35" s="3"/>
      <c r="F35" s="1">
        <v>599.0</v>
      </c>
      <c r="G35" s="2" t="str">
        <f t="shared" si="1"/>
        <v>Verloren</v>
      </c>
      <c r="H35" s="5">
        <f t="shared" si="2"/>
        <v>0</v>
      </c>
      <c r="I35" s="5">
        <f t="shared" si="3"/>
        <v>0</v>
      </c>
      <c r="J35" s="5">
        <f t="shared" si="4"/>
        <v>0</v>
      </c>
      <c r="K35" s="5" t="str">
        <f t="shared" si="5"/>
        <v>2026</v>
      </c>
      <c r="L35" s="5">
        <f t="shared" si="6"/>
        <v>7</v>
      </c>
      <c r="M35" s="6" t="str">
        <f t="shared" si="7"/>
        <v>2026-07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1">
        <v>4.58702779601E11</v>
      </c>
      <c r="B36" s="1" t="s">
        <v>49</v>
      </c>
      <c r="C36" s="1" t="s">
        <v>14</v>
      </c>
      <c r="D36" s="4">
        <v>46212.291666666664</v>
      </c>
      <c r="E36" s="3"/>
      <c r="F36" s="1">
        <v>499.0</v>
      </c>
      <c r="G36" s="2" t="str">
        <f t="shared" si="1"/>
        <v>Verloren</v>
      </c>
      <c r="H36" s="5">
        <f t="shared" si="2"/>
        <v>0</v>
      </c>
      <c r="I36" s="5">
        <f t="shared" si="3"/>
        <v>0</v>
      </c>
      <c r="J36" s="5">
        <f t="shared" si="4"/>
        <v>0</v>
      </c>
      <c r="K36" s="5" t="str">
        <f t="shared" si="5"/>
        <v>2026</v>
      </c>
      <c r="L36" s="5">
        <f t="shared" si="6"/>
        <v>7</v>
      </c>
      <c r="M36" s="6" t="str">
        <f t="shared" si="7"/>
        <v>2026-07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7">
        <v>3.09758811354E11</v>
      </c>
      <c r="B37" s="7" t="s">
        <v>50</v>
      </c>
      <c r="C37" s="7" t="s">
        <v>22</v>
      </c>
      <c r="D37" s="8">
        <v>46207.291666666664</v>
      </c>
      <c r="E37" s="9"/>
      <c r="F37" s="7">
        <v>332.0</v>
      </c>
      <c r="G37" s="10" t="str">
        <f t="shared" si="1"/>
        <v>Omzet</v>
      </c>
      <c r="H37" s="11">
        <f t="shared" si="2"/>
        <v>332</v>
      </c>
      <c r="I37" s="11">
        <f t="shared" si="3"/>
        <v>0</v>
      </c>
      <c r="J37" s="11">
        <f t="shared" si="4"/>
        <v>332</v>
      </c>
      <c r="K37" s="11" t="str">
        <f t="shared" si="5"/>
        <v>2026</v>
      </c>
      <c r="L37" s="11">
        <f t="shared" si="6"/>
        <v>7</v>
      </c>
      <c r="M37" s="12" t="str">
        <f t="shared" si="7"/>
        <v>2026-07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8.0" customHeight="1">
      <c r="A38" s="7">
        <v>3.78917745894E11</v>
      </c>
      <c r="B38" s="7" t="s">
        <v>51</v>
      </c>
      <c r="C38" s="7" t="s">
        <v>22</v>
      </c>
      <c r="D38" s="8">
        <v>46206.291666666664</v>
      </c>
      <c r="E38" s="9"/>
      <c r="F38" s="7">
        <v>499.0</v>
      </c>
      <c r="G38" s="10" t="str">
        <f t="shared" si="1"/>
        <v>Omzet</v>
      </c>
      <c r="H38" s="11">
        <f t="shared" si="2"/>
        <v>499</v>
      </c>
      <c r="I38" s="11">
        <f t="shared" si="3"/>
        <v>0</v>
      </c>
      <c r="J38" s="11">
        <f t="shared" si="4"/>
        <v>499</v>
      </c>
      <c r="K38" s="11" t="str">
        <f t="shared" si="5"/>
        <v>2026</v>
      </c>
      <c r="L38" s="11">
        <f t="shared" si="6"/>
        <v>7</v>
      </c>
      <c r="M38" s="12" t="str">
        <f t="shared" si="7"/>
        <v>2026-07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7">
        <v>3.34589596895E11</v>
      </c>
      <c r="B39" s="7" t="s">
        <v>52</v>
      </c>
      <c r="C39" s="7" t="s">
        <v>22</v>
      </c>
      <c r="D39" s="8">
        <v>46206.291666666664</v>
      </c>
      <c r="E39" s="9"/>
      <c r="F39" s="7">
        <v>753.0</v>
      </c>
      <c r="G39" s="10" t="str">
        <f t="shared" si="1"/>
        <v>Omzet</v>
      </c>
      <c r="H39" s="11">
        <f t="shared" si="2"/>
        <v>753</v>
      </c>
      <c r="I39" s="11">
        <f t="shared" si="3"/>
        <v>0</v>
      </c>
      <c r="J39" s="11">
        <f t="shared" si="4"/>
        <v>753</v>
      </c>
      <c r="K39" s="11" t="str">
        <f t="shared" si="5"/>
        <v>2026</v>
      </c>
      <c r="L39" s="11">
        <f t="shared" si="6"/>
        <v>7</v>
      </c>
      <c r="M39" s="12" t="str">
        <f t="shared" si="7"/>
        <v>2026-07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1">
        <v>1.78598636776E11</v>
      </c>
      <c r="B40" s="1" t="s">
        <v>53</v>
      </c>
      <c r="C40" s="1" t="s">
        <v>14</v>
      </c>
      <c r="D40" s="4">
        <v>46206.291666666664</v>
      </c>
      <c r="E40" s="3"/>
      <c r="F40" s="1">
        <v>699.0</v>
      </c>
      <c r="G40" s="2" t="str">
        <f t="shared" si="1"/>
        <v>Verloren</v>
      </c>
      <c r="H40" s="5">
        <f t="shared" si="2"/>
        <v>0</v>
      </c>
      <c r="I40" s="5">
        <f t="shared" si="3"/>
        <v>0</v>
      </c>
      <c r="J40" s="5">
        <f t="shared" si="4"/>
        <v>0</v>
      </c>
      <c r="K40" s="5" t="str">
        <f t="shared" si="5"/>
        <v>2026</v>
      </c>
      <c r="L40" s="5">
        <f t="shared" si="6"/>
        <v>7</v>
      </c>
      <c r="M40" s="6" t="str">
        <f t="shared" si="7"/>
        <v>2026-07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1">
        <v>4.52826980568E11</v>
      </c>
      <c r="B41" s="1" t="s">
        <v>54</v>
      </c>
      <c r="C41" s="1" t="s">
        <v>14</v>
      </c>
      <c r="D41" s="4">
        <v>46205.291666666664</v>
      </c>
      <c r="E41" s="3"/>
      <c r="F41" s="1">
        <v>225.0</v>
      </c>
      <c r="G41" s="2" t="str">
        <f t="shared" si="1"/>
        <v>Verloren</v>
      </c>
      <c r="H41" s="5">
        <f t="shared" si="2"/>
        <v>0</v>
      </c>
      <c r="I41" s="5">
        <f t="shared" si="3"/>
        <v>0</v>
      </c>
      <c r="J41" s="5">
        <f t="shared" si="4"/>
        <v>0</v>
      </c>
      <c r="K41" s="5" t="str">
        <f t="shared" si="5"/>
        <v>2026</v>
      </c>
      <c r="L41" s="5">
        <f t="shared" si="6"/>
        <v>7</v>
      </c>
      <c r="M41" s="6" t="str">
        <f t="shared" si="7"/>
        <v>2026-07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1">
        <v>3.34575529192E11</v>
      </c>
      <c r="B42" s="1" t="s">
        <v>55</v>
      </c>
      <c r="C42" s="1" t="s">
        <v>14</v>
      </c>
      <c r="D42" s="4">
        <v>46202.291666666664</v>
      </c>
      <c r="E42" s="3"/>
      <c r="F42" s="1">
        <v>599.0</v>
      </c>
      <c r="G42" s="2" t="str">
        <f t="shared" si="1"/>
        <v>Verloren</v>
      </c>
      <c r="H42" s="5">
        <f t="shared" si="2"/>
        <v>0</v>
      </c>
      <c r="I42" s="5">
        <f t="shared" si="3"/>
        <v>0</v>
      </c>
      <c r="J42" s="5">
        <f t="shared" si="4"/>
        <v>0</v>
      </c>
      <c r="K42" s="5" t="str">
        <f t="shared" si="5"/>
        <v>2026</v>
      </c>
      <c r="L42" s="5">
        <f t="shared" si="6"/>
        <v>6</v>
      </c>
      <c r="M42" s="6" t="str">
        <f t="shared" si="7"/>
        <v>2026-06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1">
        <v>4.5953679073E11</v>
      </c>
      <c r="B43" s="1" t="s">
        <v>56</v>
      </c>
      <c r="C43" s="1" t="s">
        <v>14</v>
      </c>
      <c r="D43" s="4">
        <v>46201.291666666664</v>
      </c>
      <c r="E43" s="3"/>
      <c r="F43" s="1">
        <v>499.0</v>
      </c>
      <c r="G43" s="2" t="str">
        <f t="shared" si="1"/>
        <v>Verloren</v>
      </c>
      <c r="H43" s="5">
        <f t="shared" si="2"/>
        <v>0</v>
      </c>
      <c r="I43" s="5">
        <f t="shared" si="3"/>
        <v>0</v>
      </c>
      <c r="J43" s="5">
        <f t="shared" si="4"/>
        <v>0</v>
      </c>
      <c r="K43" s="5" t="str">
        <f t="shared" si="5"/>
        <v>2026</v>
      </c>
      <c r="L43" s="5">
        <f t="shared" si="6"/>
        <v>6</v>
      </c>
      <c r="M43" s="6" t="str">
        <f t="shared" si="7"/>
        <v>2026-06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1">
        <v>4.49488761033E11</v>
      </c>
      <c r="B44" s="1" t="s">
        <v>57</v>
      </c>
      <c r="C44" s="1" t="s">
        <v>14</v>
      </c>
      <c r="D44" s="4">
        <v>46200.291666666664</v>
      </c>
      <c r="E44" s="3"/>
      <c r="F44" s="1">
        <v>799.0</v>
      </c>
      <c r="G44" s="2" t="str">
        <f t="shared" si="1"/>
        <v>Verloren</v>
      </c>
      <c r="H44" s="5">
        <f t="shared" si="2"/>
        <v>0</v>
      </c>
      <c r="I44" s="5">
        <f t="shared" si="3"/>
        <v>0</v>
      </c>
      <c r="J44" s="5">
        <f t="shared" si="4"/>
        <v>0</v>
      </c>
      <c r="K44" s="5" t="str">
        <f t="shared" si="5"/>
        <v>2026</v>
      </c>
      <c r="L44" s="5">
        <f t="shared" si="6"/>
        <v>6</v>
      </c>
      <c r="M44" s="6" t="str">
        <f t="shared" si="7"/>
        <v>2026-06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1">
        <v>3.61607034088E11</v>
      </c>
      <c r="B45" s="1" t="s">
        <v>58</v>
      </c>
      <c r="C45" s="1" t="s">
        <v>14</v>
      </c>
      <c r="D45" s="4">
        <v>46200.291666666664</v>
      </c>
      <c r="E45" s="3"/>
      <c r="F45" s="1">
        <v>299.0</v>
      </c>
      <c r="G45" s="2" t="str">
        <f t="shared" si="1"/>
        <v>Verloren</v>
      </c>
      <c r="H45" s="5">
        <f t="shared" si="2"/>
        <v>0</v>
      </c>
      <c r="I45" s="5">
        <f t="shared" si="3"/>
        <v>0</v>
      </c>
      <c r="J45" s="5">
        <f t="shared" si="4"/>
        <v>0</v>
      </c>
      <c r="K45" s="5" t="str">
        <f t="shared" si="5"/>
        <v>2026</v>
      </c>
      <c r="L45" s="5">
        <f t="shared" si="6"/>
        <v>6</v>
      </c>
      <c r="M45" s="6" t="str">
        <f t="shared" si="7"/>
        <v>2026-06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1">
        <v>3.08074253561E11</v>
      </c>
      <c r="B46" s="1" t="s">
        <v>59</v>
      </c>
      <c r="C46" s="1" t="s">
        <v>14</v>
      </c>
      <c r="D46" s="4">
        <v>46200.291666666664</v>
      </c>
      <c r="E46" s="3"/>
      <c r="F46" s="1">
        <v>499.0</v>
      </c>
      <c r="G46" s="2" t="str">
        <f t="shared" si="1"/>
        <v>Verloren</v>
      </c>
      <c r="H46" s="5">
        <f t="shared" si="2"/>
        <v>0</v>
      </c>
      <c r="I46" s="5">
        <f t="shared" si="3"/>
        <v>0</v>
      </c>
      <c r="J46" s="5">
        <f t="shared" si="4"/>
        <v>0</v>
      </c>
      <c r="K46" s="5" t="str">
        <f t="shared" si="5"/>
        <v>2026</v>
      </c>
      <c r="L46" s="5">
        <f t="shared" si="6"/>
        <v>6</v>
      </c>
      <c r="M46" s="6" t="str">
        <f t="shared" si="7"/>
        <v>2026-06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1">
        <v>4.53894216918E11</v>
      </c>
      <c r="B47" s="1" t="s">
        <v>60</v>
      </c>
      <c r="C47" s="1" t="s">
        <v>14</v>
      </c>
      <c r="D47" s="4">
        <v>46199.291666666664</v>
      </c>
      <c r="E47" s="3"/>
      <c r="F47" s="1">
        <v>299.0</v>
      </c>
      <c r="G47" s="2" t="str">
        <f t="shared" si="1"/>
        <v>Verloren</v>
      </c>
      <c r="H47" s="5">
        <f t="shared" si="2"/>
        <v>0</v>
      </c>
      <c r="I47" s="5">
        <f t="shared" si="3"/>
        <v>0</v>
      </c>
      <c r="J47" s="5">
        <f t="shared" si="4"/>
        <v>0</v>
      </c>
      <c r="K47" s="5" t="str">
        <f t="shared" si="5"/>
        <v>2026</v>
      </c>
      <c r="L47" s="5">
        <f t="shared" si="6"/>
        <v>6</v>
      </c>
      <c r="M47" s="6" t="str">
        <f t="shared" si="7"/>
        <v>2026-06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1">
        <v>4.48120326392E11</v>
      </c>
      <c r="B48" s="1" t="s">
        <v>61</v>
      </c>
      <c r="C48" s="1" t="s">
        <v>14</v>
      </c>
      <c r="D48" s="4">
        <v>46199.291666666664</v>
      </c>
      <c r="E48" s="3"/>
      <c r="F48" s="1">
        <v>599.0</v>
      </c>
      <c r="G48" s="2" t="str">
        <f t="shared" si="1"/>
        <v>Verloren</v>
      </c>
      <c r="H48" s="5">
        <f t="shared" si="2"/>
        <v>0</v>
      </c>
      <c r="I48" s="5">
        <f t="shared" si="3"/>
        <v>0</v>
      </c>
      <c r="J48" s="5">
        <f t="shared" si="4"/>
        <v>0</v>
      </c>
      <c r="K48" s="5" t="str">
        <f t="shared" si="5"/>
        <v>2026</v>
      </c>
      <c r="L48" s="5">
        <f t="shared" si="6"/>
        <v>6</v>
      </c>
      <c r="M48" s="6" t="str">
        <f t="shared" si="7"/>
        <v>2026-06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1">
        <v>4.39688106228E11</v>
      </c>
      <c r="B49" s="1" t="s">
        <v>62</v>
      </c>
      <c r="C49" s="1" t="s">
        <v>14</v>
      </c>
      <c r="D49" s="4">
        <v>46199.291666666664</v>
      </c>
      <c r="E49" s="3"/>
      <c r="F49" s="1">
        <v>499.0</v>
      </c>
      <c r="G49" s="2" t="str">
        <f t="shared" si="1"/>
        <v>Verloren</v>
      </c>
      <c r="H49" s="5">
        <f t="shared" si="2"/>
        <v>0</v>
      </c>
      <c r="I49" s="5">
        <f t="shared" si="3"/>
        <v>0</v>
      </c>
      <c r="J49" s="5">
        <f t="shared" si="4"/>
        <v>0</v>
      </c>
      <c r="K49" s="5" t="str">
        <f t="shared" si="5"/>
        <v>2026</v>
      </c>
      <c r="L49" s="5">
        <f t="shared" si="6"/>
        <v>6</v>
      </c>
      <c r="M49" s="6" t="str">
        <f t="shared" si="7"/>
        <v>2026-06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1">
        <v>4.39266556147E11</v>
      </c>
      <c r="B50" s="1" t="s">
        <v>63</v>
      </c>
      <c r="C50" s="1" t="s">
        <v>14</v>
      </c>
      <c r="D50" s="4">
        <v>46199.291666666664</v>
      </c>
      <c r="E50" s="3"/>
      <c r="F50" s="1">
        <v>169.0</v>
      </c>
      <c r="G50" s="2" t="str">
        <f t="shared" si="1"/>
        <v>Verloren</v>
      </c>
      <c r="H50" s="5">
        <f t="shared" si="2"/>
        <v>0</v>
      </c>
      <c r="I50" s="5">
        <f t="shared" si="3"/>
        <v>0</v>
      </c>
      <c r="J50" s="5">
        <f t="shared" si="4"/>
        <v>0</v>
      </c>
      <c r="K50" s="5" t="str">
        <f t="shared" si="5"/>
        <v>2026</v>
      </c>
      <c r="L50" s="5">
        <f t="shared" si="6"/>
        <v>6</v>
      </c>
      <c r="M50" s="6" t="str">
        <f t="shared" si="7"/>
        <v>2026-06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13">
        <v>3.38108397781E11</v>
      </c>
      <c r="B51" s="13" t="s">
        <v>64</v>
      </c>
      <c r="C51" s="13" t="s">
        <v>22</v>
      </c>
      <c r="D51" s="14">
        <v>46199.291666666664</v>
      </c>
      <c r="E51" s="15"/>
      <c r="F51" s="13">
        <v>499.0</v>
      </c>
      <c r="G51" s="16" t="str">
        <f t="shared" si="1"/>
        <v>Omzet</v>
      </c>
      <c r="H51" s="17">
        <f t="shared" si="2"/>
        <v>499</v>
      </c>
      <c r="I51" s="17">
        <f t="shared" si="3"/>
        <v>0</v>
      </c>
      <c r="J51" s="17">
        <f t="shared" si="4"/>
        <v>499</v>
      </c>
      <c r="K51" s="17" t="str">
        <f t="shared" si="5"/>
        <v>2026</v>
      </c>
      <c r="L51" s="17">
        <f t="shared" si="6"/>
        <v>6</v>
      </c>
      <c r="M51" s="18" t="str">
        <f t="shared" si="7"/>
        <v>2026-06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3">
        <v>2.9474070348E11</v>
      </c>
      <c r="B52" s="13" t="s">
        <v>65</v>
      </c>
      <c r="C52" s="13" t="s">
        <v>22</v>
      </c>
      <c r="D52" s="14">
        <v>46199.291666666664</v>
      </c>
      <c r="E52" s="15"/>
      <c r="F52" s="13">
        <v>699.0</v>
      </c>
      <c r="G52" s="16" t="str">
        <f t="shared" si="1"/>
        <v>Omzet</v>
      </c>
      <c r="H52" s="17">
        <f t="shared" si="2"/>
        <v>699</v>
      </c>
      <c r="I52" s="17">
        <f t="shared" si="3"/>
        <v>0</v>
      </c>
      <c r="J52" s="17">
        <f t="shared" si="4"/>
        <v>699</v>
      </c>
      <c r="K52" s="17" t="str">
        <f t="shared" si="5"/>
        <v>2026</v>
      </c>
      <c r="L52" s="17">
        <f t="shared" si="6"/>
        <v>6</v>
      </c>
      <c r="M52" s="18" t="str">
        <f t="shared" si="7"/>
        <v>2026-06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">
        <v>2.77595040988E11</v>
      </c>
      <c r="B53" s="1" t="s">
        <v>66</v>
      </c>
      <c r="C53" s="1" t="s">
        <v>14</v>
      </c>
      <c r="D53" s="4">
        <v>46199.291666666664</v>
      </c>
      <c r="E53" s="3"/>
      <c r="F53" s="1">
        <v>669.0</v>
      </c>
      <c r="G53" s="2" t="str">
        <f t="shared" si="1"/>
        <v>Verloren</v>
      </c>
      <c r="H53" s="5">
        <f t="shared" si="2"/>
        <v>0</v>
      </c>
      <c r="I53" s="5">
        <f t="shared" si="3"/>
        <v>0</v>
      </c>
      <c r="J53" s="5">
        <f t="shared" si="4"/>
        <v>0</v>
      </c>
      <c r="K53" s="5" t="str">
        <f t="shared" si="5"/>
        <v>2026</v>
      </c>
      <c r="L53" s="5">
        <f t="shared" si="6"/>
        <v>6</v>
      </c>
      <c r="M53" s="6" t="str">
        <f t="shared" si="7"/>
        <v>2026-06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1">
        <v>4.40889089225E11</v>
      </c>
      <c r="B54" s="1" t="s">
        <v>67</v>
      </c>
      <c r="C54" s="1" t="s">
        <v>14</v>
      </c>
      <c r="D54" s="4">
        <v>46193.291666666664</v>
      </c>
      <c r="E54" s="3"/>
      <c r="F54" s="1">
        <v>599.0</v>
      </c>
      <c r="G54" s="2" t="str">
        <f t="shared" si="1"/>
        <v>Verloren</v>
      </c>
      <c r="H54" s="5">
        <f t="shared" si="2"/>
        <v>0</v>
      </c>
      <c r="I54" s="5">
        <f t="shared" si="3"/>
        <v>0</v>
      </c>
      <c r="J54" s="5">
        <f t="shared" si="4"/>
        <v>0</v>
      </c>
      <c r="K54" s="5" t="str">
        <f t="shared" si="5"/>
        <v>2026</v>
      </c>
      <c r="L54" s="5">
        <f t="shared" si="6"/>
        <v>6</v>
      </c>
      <c r="M54" s="6" t="str">
        <f t="shared" si="7"/>
        <v>2026-06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1">
        <v>4.03673404612E11</v>
      </c>
      <c r="B55" s="1" t="s">
        <v>68</v>
      </c>
      <c r="C55" s="1" t="s">
        <v>14</v>
      </c>
      <c r="D55" s="4">
        <v>46193.291666666664</v>
      </c>
      <c r="E55" s="3"/>
      <c r="F55" s="1">
        <v>299.0</v>
      </c>
      <c r="G55" s="2" t="str">
        <f t="shared" si="1"/>
        <v>Verloren</v>
      </c>
      <c r="H55" s="5">
        <f t="shared" si="2"/>
        <v>0</v>
      </c>
      <c r="I55" s="5">
        <f t="shared" si="3"/>
        <v>0</v>
      </c>
      <c r="J55" s="5">
        <f t="shared" si="4"/>
        <v>0</v>
      </c>
      <c r="K55" s="5" t="str">
        <f t="shared" si="5"/>
        <v>2026</v>
      </c>
      <c r="L55" s="5">
        <f t="shared" si="6"/>
        <v>6</v>
      </c>
      <c r="M55" s="6" t="str">
        <f t="shared" si="7"/>
        <v>2026-06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1">
        <v>3.34515454187E11</v>
      </c>
      <c r="B56" s="1" t="s">
        <v>69</v>
      </c>
      <c r="C56" s="1" t="s">
        <v>14</v>
      </c>
      <c r="D56" s="4">
        <v>46193.291666666664</v>
      </c>
      <c r="E56" s="3"/>
      <c r="F56" s="1">
        <v>299.0</v>
      </c>
      <c r="G56" s="2" t="str">
        <f t="shared" si="1"/>
        <v>Verloren</v>
      </c>
      <c r="H56" s="5">
        <f t="shared" si="2"/>
        <v>0</v>
      </c>
      <c r="I56" s="5">
        <f t="shared" si="3"/>
        <v>0</v>
      </c>
      <c r="J56" s="5">
        <f t="shared" si="4"/>
        <v>0</v>
      </c>
      <c r="K56" s="5" t="str">
        <f t="shared" si="5"/>
        <v>2026</v>
      </c>
      <c r="L56" s="5">
        <f t="shared" si="6"/>
        <v>6</v>
      </c>
      <c r="M56" s="6" t="str">
        <f t="shared" si="7"/>
        <v>2026-06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1">
        <v>3.17789568216E11</v>
      </c>
      <c r="B57" s="1" t="s">
        <v>70</v>
      </c>
      <c r="C57" s="1" t="s">
        <v>14</v>
      </c>
      <c r="D57" s="4">
        <v>46193.291666666664</v>
      </c>
      <c r="E57" s="3"/>
      <c r="F57" s="1">
        <v>299.0</v>
      </c>
      <c r="G57" s="2" t="str">
        <f t="shared" si="1"/>
        <v>Verloren</v>
      </c>
      <c r="H57" s="5">
        <f t="shared" si="2"/>
        <v>0</v>
      </c>
      <c r="I57" s="5">
        <f t="shared" si="3"/>
        <v>0</v>
      </c>
      <c r="J57" s="5">
        <f t="shared" si="4"/>
        <v>0</v>
      </c>
      <c r="K57" s="5" t="str">
        <f t="shared" si="5"/>
        <v>2026</v>
      </c>
      <c r="L57" s="5">
        <f t="shared" si="6"/>
        <v>6</v>
      </c>
      <c r="M57" s="6" t="str">
        <f t="shared" si="7"/>
        <v>2026-06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1">
        <v>2.57796520146E11</v>
      </c>
      <c r="B58" s="1" t="s">
        <v>71</v>
      </c>
      <c r="C58" s="1" t="s">
        <v>14</v>
      </c>
      <c r="D58" s="4">
        <v>46193.291666666664</v>
      </c>
      <c r="E58" s="3"/>
      <c r="F58" s="1">
        <v>299.0</v>
      </c>
      <c r="G58" s="2" t="str">
        <f t="shared" si="1"/>
        <v>Verloren</v>
      </c>
      <c r="H58" s="5">
        <f t="shared" si="2"/>
        <v>0</v>
      </c>
      <c r="I58" s="5">
        <f t="shared" si="3"/>
        <v>0</v>
      </c>
      <c r="J58" s="5">
        <f t="shared" si="4"/>
        <v>0</v>
      </c>
      <c r="K58" s="5" t="str">
        <f t="shared" si="5"/>
        <v>2026</v>
      </c>
      <c r="L58" s="5">
        <f t="shared" si="6"/>
        <v>6</v>
      </c>
      <c r="M58" s="6" t="str">
        <f t="shared" si="7"/>
        <v>2026-06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1">
        <v>4.09355583736E11</v>
      </c>
      <c r="B59" s="1" t="s">
        <v>72</v>
      </c>
      <c r="C59" s="1" t="s">
        <v>14</v>
      </c>
      <c r="D59" s="4">
        <v>46192.291666666664</v>
      </c>
      <c r="E59" s="3"/>
      <c r="F59" s="1">
        <v>225.0</v>
      </c>
      <c r="G59" s="2" t="str">
        <f t="shared" si="1"/>
        <v>Verloren</v>
      </c>
      <c r="H59" s="5">
        <f t="shared" si="2"/>
        <v>0</v>
      </c>
      <c r="I59" s="5">
        <f t="shared" si="3"/>
        <v>0</v>
      </c>
      <c r="J59" s="5">
        <f t="shared" si="4"/>
        <v>0</v>
      </c>
      <c r="K59" s="5" t="str">
        <f t="shared" si="5"/>
        <v>2026</v>
      </c>
      <c r="L59" s="5">
        <f t="shared" si="6"/>
        <v>6</v>
      </c>
      <c r="M59" s="6" t="str">
        <f t="shared" si="7"/>
        <v>2026-06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1">
        <v>3.0134227784E11</v>
      </c>
      <c r="B60" s="1" t="s">
        <v>73</v>
      </c>
      <c r="C60" s="1" t="s">
        <v>14</v>
      </c>
      <c r="D60" s="4">
        <v>46192.291666666664</v>
      </c>
      <c r="E60" s="3"/>
      <c r="F60" s="1">
        <v>736.0</v>
      </c>
      <c r="G60" s="2" t="str">
        <f t="shared" si="1"/>
        <v>Verloren</v>
      </c>
      <c r="H60" s="5">
        <f t="shared" si="2"/>
        <v>0</v>
      </c>
      <c r="I60" s="5">
        <f t="shared" si="3"/>
        <v>0</v>
      </c>
      <c r="J60" s="5">
        <f t="shared" si="4"/>
        <v>0</v>
      </c>
      <c r="K60" s="5" t="str">
        <f t="shared" si="5"/>
        <v>2026</v>
      </c>
      <c r="L60" s="5">
        <f t="shared" si="6"/>
        <v>6</v>
      </c>
      <c r="M60" s="6" t="str">
        <f t="shared" si="7"/>
        <v>2026-06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1">
        <v>2.76728336599E11</v>
      </c>
      <c r="B61" s="1" t="s">
        <v>74</v>
      </c>
      <c r="C61" s="1" t="s">
        <v>14</v>
      </c>
      <c r="D61" s="4">
        <v>46192.291666666664</v>
      </c>
      <c r="E61" s="3"/>
      <c r="F61" s="1">
        <v>706.0</v>
      </c>
      <c r="G61" s="2" t="str">
        <f t="shared" si="1"/>
        <v>Verloren</v>
      </c>
      <c r="H61" s="5">
        <f t="shared" si="2"/>
        <v>0</v>
      </c>
      <c r="I61" s="5">
        <f t="shared" si="3"/>
        <v>0</v>
      </c>
      <c r="J61" s="5">
        <f t="shared" si="4"/>
        <v>0</v>
      </c>
      <c r="K61" s="5" t="str">
        <f t="shared" si="5"/>
        <v>2026</v>
      </c>
      <c r="L61" s="5">
        <f t="shared" si="6"/>
        <v>6</v>
      </c>
      <c r="M61" s="6" t="str">
        <f t="shared" si="7"/>
        <v>2026-06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1">
        <v>4.4803061783E11</v>
      </c>
      <c r="B62" s="1" t="s">
        <v>75</v>
      </c>
      <c r="C62" s="1" t="s">
        <v>14</v>
      </c>
      <c r="D62" s="4">
        <v>46186.291666666664</v>
      </c>
      <c r="E62" s="3"/>
      <c r="F62" s="1">
        <v>299.0</v>
      </c>
      <c r="G62" s="2" t="str">
        <f t="shared" si="1"/>
        <v>Verloren</v>
      </c>
      <c r="H62" s="5">
        <f t="shared" si="2"/>
        <v>0</v>
      </c>
      <c r="I62" s="5">
        <f t="shared" si="3"/>
        <v>0</v>
      </c>
      <c r="J62" s="5">
        <f t="shared" si="4"/>
        <v>0</v>
      </c>
      <c r="K62" s="5" t="str">
        <f t="shared" si="5"/>
        <v>2026</v>
      </c>
      <c r="L62" s="5">
        <f t="shared" si="6"/>
        <v>6</v>
      </c>
      <c r="M62" s="6" t="str">
        <f t="shared" si="7"/>
        <v>2026-06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1">
        <v>3.61231221999E11</v>
      </c>
      <c r="B63" s="1" t="s">
        <v>76</v>
      </c>
      <c r="C63" s="1" t="s">
        <v>14</v>
      </c>
      <c r="D63" s="4">
        <v>46186.291666666664</v>
      </c>
      <c r="E63" s="3"/>
      <c r="F63" s="1">
        <v>599.0</v>
      </c>
      <c r="G63" s="2" t="str">
        <f t="shared" si="1"/>
        <v>Verloren</v>
      </c>
      <c r="H63" s="5">
        <f t="shared" si="2"/>
        <v>0</v>
      </c>
      <c r="I63" s="5">
        <f t="shared" si="3"/>
        <v>0</v>
      </c>
      <c r="J63" s="5">
        <f t="shared" si="4"/>
        <v>0</v>
      </c>
      <c r="K63" s="5" t="str">
        <f t="shared" si="5"/>
        <v>2026</v>
      </c>
      <c r="L63" s="5">
        <f t="shared" si="6"/>
        <v>6</v>
      </c>
      <c r="M63" s="6" t="str">
        <f t="shared" si="7"/>
        <v>2026-06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1">
        <v>2.57785828575E11</v>
      </c>
      <c r="B64" s="1" t="s">
        <v>77</v>
      </c>
      <c r="C64" s="1" t="s">
        <v>14</v>
      </c>
      <c r="D64" s="4">
        <v>46186.291666666664</v>
      </c>
      <c r="E64" s="3"/>
      <c r="F64" s="1">
        <v>315.0</v>
      </c>
      <c r="G64" s="2" t="str">
        <f t="shared" si="1"/>
        <v>Verloren</v>
      </c>
      <c r="H64" s="5">
        <f t="shared" si="2"/>
        <v>0</v>
      </c>
      <c r="I64" s="5">
        <f t="shared" si="3"/>
        <v>0</v>
      </c>
      <c r="J64" s="5">
        <f t="shared" si="4"/>
        <v>0</v>
      </c>
      <c r="K64" s="5" t="str">
        <f t="shared" si="5"/>
        <v>2026</v>
      </c>
      <c r="L64" s="5">
        <f t="shared" si="6"/>
        <v>6</v>
      </c>
      <c r="M64" s="6" t="str">
        <f t="shared" si="7"/>
        <v>2026-06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1">
        <v>4.06707432692E11</v>
      </c>
      <c r="B65" s="1" t="s">
        <v>78</v>
      </c>
      <c r="C65" s="1" t="s">
        <v>14</v>
      </c>
      <c r="D65" s="4">
        <v>46185.291666666664</v>
      </c>
      <c r="E65" s="3"/>
      <c r="F65" s="1">
        <v>659.0</v>
      </c>
      <c r="G65" s="2" t="str">
        <f t="shared" si="1"/>
        <v>Verloren</v>
      </c>
      <c r="H65" s="5">
        <f t="shared" si="2"/>
        <v>0</v>
      </c>
      <c r="I65" s="5">
        <f t="shared" si="3"/>
        <v>0</v>
      </c>
      <c r="J65" s="5">
        <f t="shared" si="4"/>
        <v>0</v>
      </c>
      <c r="K65" s="5" t="str">
        <f t="shared" si="5"/>
        <v>2026</v>
      </c>
      <c r="L65" s="5">
        <f t="shared" si="6"/>
        <v>6</v>
      </c>
      <c r="M65" s="6" t="str">
        <f t="shared" si="7"/>
        <v>2026-06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1">
        <v>4.29091215594E11</v>
      </c>
      <c r="B66" s="1" t="s">
        <v>79</v>
      </c>
      <c r="C66" s="1" t="s">
        <v>14</v>
      </c>
      <c r="D66" s="4">
        <v>46184.291666666664</v>
      </c>
      <c r="E66" s="3"/>
      <c r="F66" s="1">
        <v>299.0</v>
      </c>
      <c r="G66" s="2" t="str">
        <f t="shared" si="1"/>
        <v>Verloren</v>
      </c>
      <c r="H66" s="5">
        <f t="shared" si="2"/>
        <v>0</v>
      </c>
      <c r="I66" s="5">
        <f t="shared" si="3"/>
        <v>0</v>
      </c>
      <c r="J66" s="5">
        <f t="shared" si="4"/>
        <v>0</v>
      </c>
      <c r="K66" s="5" t="str">
        <f t="shared" si="5"/>
        <v>2026</v>
      </c>
      <c r="L66" s="5">
        <f t="shared" si="6"/>
        <v>6</v>
      </c>
      <c r="M66" s="6" t="str">
        <f t="shared" si="7"/>
        <v>2026-06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1">
        <v>3.86780628169E11</v>
      </c>
      <c r="B67" s="1" t="s">
        <v>80</v>
      </c>
      <c r="C67" s="1" t="s">
        <v>14</v>
      </c>
      <c r="D67" s="4">
        <v>46179.9375</v>
      </c>
      <c r="E67" s="1" t="s">
        <v>81</v>
      </c>
      <c r="F67" s="1">
        <v>599.0</v>
      </c>
      <c r="G67" s="2" t="str">
        <f t="shared" si="1"/>
        <v>Verloren</v>
      </c>
      <c r="H67" s="5">
        <f t="shared" si="2"/>
        <v>0</v>
      </c>
      <c r="I67" s="5">
        <f t="shared" si="3"/>
        <v>0</v>
      </c>
      <c r="J67" s="5">
        <f t="shared" si="4"/>
        <v>0</v>
      </c>
      <c r="K67" s="5" t="str">
        <f t="shared" si="5"/>
        <v>2026</v>
      </c>
      <c r="L67" s="5">
        <f t="shared" si="6"/>
        <v>6</v>
      </c>
      <c r="M67" s="6" t="str">
        <f t="shared" si="7"/>
        <v>2026-06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1">
        <v>4.54076501201E11</v>
      </c>
      <c r="B68" s="1" t="s">
        <v>82</v>
      </c>
      <c r="C68" s="1" t="s">
        <v>14</v>
      </c>
      <c r="D68" s="4">
        <v>46179.291666666664</v>
      </c>
      <c r="E68" s="3"/>
      <c r="F68" s="1">
        <v>225.0</v>
      </c>
      <c r="G68" s="2" t="str">
        <f t="shared" si="1"/>
        <v>Verloren</v>
      </c>
      <c r="H68" s="5">
        <f t="shared" si="2"/>
        <v>0</v>
      </c>
      <c r="I68" s="5">
        <f t="shared" si="3"/>
        <v>0</v>
      </c>
      <c r="J68" s="5">
        <f t="shared" si="4"/>
        <v>0</v>
      </c>
      <c r="K68" s="5" t="str">
        <f t="shared" si="5"/>
        <v>2026</v>
      </c>
      <c r="L68" s="5">
        <f t="shared" si="6"/>
        <v>6</v>
      </c>
      <c r="M68" s="6" t="str">
        <f t="shared" si="7"/>
        <v>2026-06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1">
        <v>4.42185373904E11</v>
      </c>
      <c r="B69" s="1" t="s">
        <v>83</v>
      </c>
      <c r="C69" s="1" t="s">
        <v>14</v>
      </c>
      <c r="D69" s="4">
        <v>46179.291666666664</v>
      </c>
      <c r="E69" s="3"/>
      <c r="F69" s="1">
        <v>225.0</v>
      </c>
      <c r="G69" s="2" t="str">
        <f t="shared" si="1"/>
        <v>Verloren</v>
      </c>
      <c r="H69" s="5">
        <f t="shared" si="2"/>
        <v>0</v>
      </c>
      <c r="I69" s="5">
        <f t="shared" si="3"/>
        <v>0</v>
      </c>
      <c r="J69" s="5">
        <f t="shared" si="4"/>
        <v>0</v>
      </c>
      <c r="K69" s="5" t="str">
        <f t="shared" si="5"/>
        <v>2026</v>
      </c>
      <c r="L69" s="5">
        <f t="shared" si="6"/>
        <v>6</v>
      </c>
      <c r="M69" s="6" t="str">
        <f t="shared" si="7"/>
        <v>2026-06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13">
        <v>4.39678608583E11</v>
      </c>
      <c r="B70" s="13" t="s">
        <v>84</v>
      </c>
      <c r="C70" s="13" t="s">
        <v>22</v>
      </c>
      <c r="D70" s="14">
        <v>46179.291666666664</v>
      </c>
      <c r="E70" s="15"/>
      <c r="F70" s="13">
        <v>299.0</v>
      </c>
      <c r="G70" s="16" t="str">
        <f t="shared" si="1"/>
        <v>Omzet</v>
      </c>
      <c r="H70" s="17">
        <f t="shared" si="2"/>
        <v>299</v>
      </c>
      <c r="I70" s="17">
        <f t="shared" si="3"/>
        <v>0</v>
      </c>
      <c r="J70" s="17">
        <f t="shared" si="4"/>
        <v>299</v>
      </c>
      <c r="K70" s="17" t="str">
        <f t="shared" si="5"/>
        <v>2026</v>
      </c>
      <c r="L70" s="17">
        <f t="shared" si="6"/>
        <v>6</v>
      </c>
      <c r="M70" s="18" t="str">
        <f t="shared" si="7"/>
        <v>2026-06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">
        <v>3.75862212797E11</v>
      </c>
      <c r="B71" s="1" t="s">
        <v>85</v>
      </c>
      <c r="C71" s="1" t="s">
        <v>14</v>
      </c>
      <c r="D71" s="4">
        <v>46179.291666666664</v>
      </c>
      <c r="E71" s="3"/>
      <c r="F71" s="1">
        <v>299.0</v>
      </c>
      <c r="G71" s="2" t="str">
        <f t="shared" si="1"/>
        <v>Verloren</v>
      </c>
      <c r="H71" s="5">
        <f t="shared" si="2"/>
        <v>0</v>
      </c>
      <c r="I71" s="5">
        <f t="shared" si="3"/>
        <v>0</v>
      </c>
      <c r="J71" s="5">
        <f t="shared" si="4"/>
        <v>0</v>
      </c>
      <c r="K71" s="5" t="str">
        <f t="shared" si="5"/>
        <v>2026</v>
      </c>
      <c r="L71" s="5">
        <f t="shared" si="6"/>
        <v>6</v>
      </c>
      <c r="M71" s="6" t="str">
        <f t="shared" si="7"/>
        <v>2026-06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13">
        <v>3.08675300543E11</v>
      </c>
      <c r="B72" s="13" t="s">
        <v>86</v>
      </c>
      <c r="C72" s="13" t="s">
        <v>22</v>
      </c>
      <c r="D72" s="14">
        <v>46179.291666666664</v>
      </c>
      <c r="E72" s="15"/>
      <c r="F72" s="13">
        <v>299.0</v>
      </c>
      <c r="G72" s="16" t="str">
        <f t="shared" si="1"/>
        <v>Omzet</v>
      </c>
      <c r="H72" s="17">
        <f t="shared" si="2"/>
        <v>299</v>
      </c>
      <c r="I72" s="17">
        <f t="shared" si="3"/>
        <v>0</v>
      </c>
      <c r="J72" s="17">
        <f t="shared" si="4"/>
        <v>299</v>
      </c>
      <c r="K72" s="17" t="str">
        <f t="shared" si="5"/>
        <v>2026</v>
      </c>
      <c r="L72" s="17">
        <f t="shared" si="6"/>
        <v>6</v>
      </c>
      <c r="M72" s="18" t="str">
        <f t="shared" si="7"/>
        <v>2026-06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">
        <v>2.7292232723E11</v>
      </c>
      <c r="B73" s="1" t="s">
        <v>87</v>
      </c>
      <c r="C73" s="1" t="s">
        <v>14</v>
      </c>
      <c r="D73" s="4">
        <v>46179.291666666664</v>
      </c>
      <c r="E73" s="3"/>
      <c r="F73" s="1">
        <v>299.0</v>
      </c>
      <c r="G73" s="2" t="str">
        <f t="shared" si="1"/>
        <v>Verloren</v>
      </c>
      <c r="H73" s="5">
        <f t="shared" si="2"/>
        <v>0</v>
      </c>
      <c r="I73" s="5">
        <f t="shared" si="3"/>
        <v>0</v>
      </c>
      <c r="J73" s="5">
        <f t="shared" si="4"/>
        <v>0</v>
      </c>
      <c r="K73" s="5" t="str">
        <f t="shared" si="5"/>
        <v>2026</v>
      </c>
      <c r="L73" s="5">
        <f t="shared" si="6"/>
        <v>6</v>
      </c>
      <c r="M73" s="6" t="str">
        <f t="shared" si="7"/>
        <v>2026-06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13">
        <v>3.93163658431E11</v>
      </c>
      <c r="B74" s="13" t="s">
        <v>88</v>
      </c>
      <c r="C74" s="13" t="s">
        <v>22</v>
      </c>
      <c r="D74" s="14">
        <v>46178.291666666664</v>
      </c>
      <c r="E74" s="15"/>
      <c r="F74" s="13">
        <v>299.0</v>
      </c>
      <c r="G74" s="16" t="str">
        <f t="shared" si="1"/>
        <v>Omzet</v>
      </c>
      <c r="H74" s="17">
        <f t="shared" si="2"/>
        <v>299</v>
      </c>
      <c r="I74" s="17">
        <f t="shared" si="3"/>
        <v>0</v>
      </c>
      <c r="J74" s="17">
        <f t="shared" si="4"/>
        <v>299</v>
      </c>
      <c r="K74" s="17" t="str">
        <f t="shared" si="5"/>
        <v>2026</v>
      </c>
      <c r="L74" s="17">
        <f t="shared" si="6"/>
        <v>6</v>
      </c>
      <c r="M74" s="18" t="str">
        <f t="shared" si="7"/>
        <v>2026-06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">
        <v>2.9923041406E11</v>
      </c>
      <c r="B75" s="1" t="s">
        <v>89</v>
      </c>
      <c r="C75" s="1" t="s">
        <v>14</v>
      </c>
      <c r="D75" s="4">
        <v>46177.291666666664</v>
      </c>
      <c r="E75" s="3"/>
      <c r="F75" s="1">
        <v>599.0</v>
      </c>
      <c r="G75" s="2" t="str">
        <f t="shared" si="1"/>
        <v>Verloren</v>
      </c>
      <c r="H75" s="5">
        <f t="shared" si="2"/>
        <v>0</v>
      </c>
      <c r="I75" s="5">
        <f t="shared" si="3"/>
        <v>0</v>
      </c>
      <c r="J75" s="5">
        <f t="shared" si="4"/>
        <v>0</v>
      </c>
      <c r="K75" s="5" t="str">
        <f t="shared" si="5"/>
        <v>2026</v>
      </c>
      <c r="L75" s="5">
        <f t="shared" si="6"/>
        <v>6</v>
      </c>
      <c r="M75" s="6" t="str">
        <f t="shared" si="7"/>
        <v>2026-06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1">
        <v>2.6139775614E11</v>
      </c>
      <c r="B76" s="1" t="s">
        <v>90</v>
      </c>
      <c r="C76" s="1" t="s">
        <v>14</v>
      </c>
      <c r="D76" s="4">
        <v>46177.291666666664</v>
      </c>
      <c r="E76" s="3"/>
      <c r="F76" s="1">
        <v>299.0</v>
      </c>
      <c r="G76" s="2" t="str">
        <f t="shared" si="1"/>
        <v>Verloren</v>
      </c>
      <c r="H76" s="5">
        <f t="shared" si="2"/>
        <v>0</v>
      </c>
      <c r="I76" s="5">
        <f t="shared" si="3"/>
        <v>0</v>
      </c>
      <c r="J76" s="5">
        <f t="shared" si="4"/>
        <v>0</v>
      </c>
      <c r="K76" s="5" t="str">
        <f t="shared" si="5"/>
        <v>2026</v>
      </c>
      <c r="L76" s="5">
        <f t="shared" si="6"/>
        <v>6</v>
      </c>
      <c r="M76" s="6" t="str">
        <f t="shared" si="7"/>
        <v>2026-06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1">
        <v>4.39215740102E11</v>
      </c>
      <c r="B77" s="1" t="s">
        <v>91</v>
      </c>
      <c r="C77" s="1" t="s">
        <v>14</v>
      </c>
      <c r="D77" s="4">
        <v>46172.291666666664</v>
      </c>
      <c r="E77" s="3"/>
      <c r="F77" s="1">
        <v>838.0</v>
      </c>
      <c r="G77" s="2" t="str">
        <f t="shared" si="1"/>
        <v>Verloren</v>
      </c>
      <c r="H77" s="5">
        <f t="shared" si="2"/>
        <v>0</v>
      </c>
      <c r="I77" s="5">
        <f t="shared" si="3"/>
        <v>0</v>
      </c>
      <c r="J77" s="5">
        <f t="shared" si="4"/>
        <v>0</v>
      </c>
      <c r="K77" s="5" t="str">
        <f t="shared" si="5"/>
        <v>2026</v>
      </c>
      <c r="L77" s="5">
        <f t="shared" si="6"/>
        <v>5</v>
      </c>
      <c r="M77" s="6" t="str">
        <f t="shared" si="7"/>
        <v>2026-05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1">
        <v>4.37399778516E11</v>
      </c>
      <c r="B78" s="1" t="s">
        <v>92</v>
      </c>
      <c r="C78" s="1" t="s">
        <v>14</v>
      </c>
      <c r="D78" s="4">
        <v>46172.291666666664</v>
      </c>
      <c r="E78" s="3"/>
      <c r="F78" s="1">
        <v>225.0</v>
      </c>
      <c r="G78" s="2" t="str">
        <f t="shared" si="1"/>
        <v>Verloren</v>
      </c>
      <c r="H78" s="5">
        <f t="shared" si="2"/>
        <v>0</v>
      </c>
      <c r="I78" s="5">
        <f t="shared" si="3"/>
        <v>0</v>
      </c>
      <c r="J78" s="5">
        <f t="shared" si="4"/>
        <v>0</v>
      </c>
      <c r="K78" s="5" t="str">
        <f t="shared" si="5"/>
        <v>2026</v>
      </c>
      <c r="L78" s="5">
        <f t="shared" si="6"/>
        <v>5</v>
      </c>
      <c r="M78" s="6" t="str">
        <f t="shared" si="7"/>
        <v>2026-05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1">
        <v>4.62565106918E11</v>
      </c>
      <c r="B79" s="1" t="s">
        <v>93</v>
      </c>
      <c r="C79" s="1" t="s">
        <v>14</v>
      </c>
      <c r="D79" s="4">
        <v>46171.291666666664</v>
      </c>
      <c r="E79" s="3"/>
      <c r="F79" s="1">
        <v>499.0</v>
      </c>
      <c r="G79" s="2" t="str">
        <f t="shared" si="1"/>
        <v>Verloren</v>
      </c>
      <c r="H79" s="5">
        <f t="shared" si="2"/>
        <v>0</v>
      </c>
      <c r="I79" s="5">
        <f t="shared" si="3"/>
        <v>0</v>
      </c>
      <c r="J79" s="5">
        <f t="shared" si="4"/>
        <v>0</v>
      </c>
      <c r="K79" s="5" t="str">
        <f t="shared" si="5"/>
        <v>2026</v>
      </c>
      <c r="L79" s="5">
        <f t="shared" si="6"/>
        <v>5</v>
      </c>
      <c r="M79" s="6" t="str">
        <f t="shared" si="7"/>
        <v>2026-05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1">
        <v>4.19434213601E11</v>
      </c>
      <c r="B80" s="1" t="s">
        <v>94</v>
      </c>
      <c r="C80" s="1" t="s">
        <v>14</v>
      </c>
      <c r="D80" s="4">
        <v>46164.291666666664</v>
      </c>
      <c r="E80" s="3"/>
      <c r="F80" s="1">
        <v>653.0</v>
      </c>
      <c r="G80" s="2" t="str">
        <f t="shared" si="1"/>
        <v>Verloren</v>
      </c>
      <c r="H80" s="5">
        <f t="shared" si="2"/>
        <v>0</v>
      </c>
      <c r="I80" s="5">
        <f t="shared" si="3"/>
        <v>0</v>
      </c>
      <c r="J80" s="5">
        <f t="shared" si="4"/>
        <v>0</v>
      </c>
      <c r="K80" s="5" t="str">
        <f t="shared" si="5"/>
        <v>2026</v>
      </c>
      <c r="L80" s="5">
        <f t="shared" si="6"/>
        <v>5</v>
      </c>
      <c r="M80" s="6" t="str">
        <f t="shared" si="7"/>
        <v>2026-05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1">
        <v>4.49233871045E11</v>
      </c>
      <c r="B81" s="1" t="s">
        <v>95</v>
      </c>
      <c r="C81" s="1" t="s">
        <v>14</v>
      </c>
      <c r="D81" s="4">
        <v>46163.291666666664</v>
      </c>
      <c r="E81" s="3"/>
      <c r="F81" s="1">
        <v>299.0</v>
      </c>
      <c r="G81" s="2" t="str">
        <f t="shared" si="1"/>
        <v>Verloren</v>
      </c>
      <c r="H81" s="5">
        <f t="shared" si="2"/>
        <v>0</v>
      </c>
      <c r="I81" s="5">
        <f t="shared" si="3"/>
        <v>0</v>
      </c>
      <c r="J81" s="5">
        <f t="shared" si="4"/>
        <v>0</v>
      </c>
      <c r="K81" s="5" t="str">
        <f t="shared" si="5"/>
        <v>2026</v>
      </c>
      <c r="L81" s="5">
        <f t="shared" si="6"/>
        <v>5</v>
      </c>
      <c r="M81" s="6" t="str">
        <f t="shared" si="7"/>
        <v>2026-05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1">
        <v>4.05715024065E11</v>
      </c>
      <c r="B82" s="1" t="s">
        <v>96</v>
      </c>
      <c r="C82" s="1" t="s">
        <v>14</v>
      </c>
      <c r="D82" s="4">
        <v>46158.82986111111</v>
      </c>
      <c r="E82" s="1" t="s">
        <v>81</v>
      </c>
      <c r="F82" s="1">
        <v>225.0</v>
      </c>
      <c r="G82" s="2" t="str">
        <f t="shared" si="1"/>
        <v>Verloren</v>
      </c>
      <c r="H82" s="5">
        <f t="shared" si="2"/>
        <v>0</v>
      </c>
      <c r="I82" s="5">
        <f t="shared" si="3"/>
        <v>0</v>
      </c>
      <c r="J82" s="5">
        <f t="shared" si="4"/>
        <v>0</v>
      </c>
      <c r="K82" s="5" t="str">
        <f t="shared" si="5"/>
        <v>2026</v>
      </c>
      <c r="L82" s="5">
        <f t="shared" si="6"/>
        <v>5</v>
      </c>
      <c r="M82" s="6" t="str">
        <f t="shared" si="7"/>
        <v>2026-05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13">
        <v>3.25736949984E11</v>
      </c>
      <c r="B83" s="13" t="s">
        <v>97</v>
      </c>
      <c r="C83" s="13" t="s">
        <v>22</v>
      </c>
      <c r="D83" s="14">
        <v>46158.291666666664</v>
      </c>
      <c r="E83" s="15"/>
      <c r="F83" s="13">
        <v>499.0</v>
      </c>
      <c r="G83" s="16" t="str">
        <f t="shared" si="1"/>
        <v>Omzet</v>
      </c>
      <c r="H83" s="17">
        <f t="shared" si="2"/>
        <v>499</v>
      </c>
      <c r="I83" s="17">
        <f t="shared" si="3"/>
        <v>0</v>
      </c>
      <c r="J83" s="17">
        <f t="shared" si="4"/>
        <v>499</v>
      </c>
      <c r="K83" s="17" t="str">
        <f t="shared" si="5"/>
        <v>2026</v>
      </c>
      <c r="L83" s="17">
        <f t="shared" si="6"/>
        <v>5</v>
      </c>
      <c r="M83" s="18" t="str">
        <f t="shared" si="7"/>
        <v>2026-05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">
        <v>4.54681261286E11</v>
      </c>
      <c r="B84" s="1" t="s">
        <v>98</v>
      </c>
      <c r="C84" s="1" t="s">
        <v>14</v>
      </c>
      <c r="D84" s="4">
        <v>46157.291666666664</v>
      </c>
      <c r="E84" s="3"/>
      <c r="F84" s="1">
        <v>919.0</v>
      </c>
      <c r="G84" s="2" t="str">
        <f t="shared" si="1"/>
        <v>Verloren</v>
      </c>
      <c r="H84" s="5">
        <f t="shared" si="2"/>
        <v>0</v>
      </c>
      <c r="I84" s="5">
        <f t="shared" si="3"/>
        <v>0</v>
      </c>
      <c r="J84" s="5">
        <f t="shared" si="4"/>
        <v>0</v>
      </c>
      <c r="K84" s="5" t="str">
        <f t="shared" si="5"/>
        <v>2026</v>
      </c>
      <c r="L84" s="5">
        <f t="shared" si="6"/>
        <v>5</v>
      </c>
      <c r="M84" s="6" t="str">
        <f t="shared" si="7"/>
        <v>2026-05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13">
        <v>3.06262756561E11</v>
      </c>
      <c r="B85" s="13" t="s">
        <v>99</v>
      </c>
      <c r="C85" s="13" t="s">
        <v>22</v>
      </c>
      <c r="D85" s="14">
        <v>46156.291666666664</v>
      </c>
      <c r="E85" s="15"/>
      <c r="F85" s="13">
        <v>299.0</v>
      </c>
      <c r="G85" s="16" t="str">
        <f t="shared" si="1"/>
        <v>Omzet</v>
      </c>
      <c r="H85" s="17">
        <f t="shared" si="2"/>
        <v>299</v>
      </c>
      <c r="I85" s="17">
        <f t="shared" si="3"/>
        <v>0</v>
      </c>
      <c r="J85" s="17">
        <f t="shared" si="4"/>
        <v>299</v>
      </c>
      <c r="K85" s="17" t="str">
        <f t="shared" si="5"/>
        <v>2026</v>
      </c>
      <c r="L85" s="17">
        <f t="shared" si="6"/>
        <v>5</v>
      </c>
      <c r="M85" s="18" t="str">
        <f t="shared" si="7"/>
        <v>2026-05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3">
        <v>4.07298694351E11</v>
      </c>
      <c r="B86" s="13" t="s">
        <v>100</v>
      </c>
      <c r="C86" s="13" t="s">
        <v>22</v>
      </c>
      <c r="D86" s="14">
        <v>46151.291666666664</v>
      </c>
      <c r="E86" s="15"/>
      <c r="F86" s="13">
        <v>299.0</v>
      </c>
      <c r="G86" s="16" t="str">
        <f t="shared" si="1"/>
        <v>Omzet</v>
      </c>
      <c r="H86" s="17">
        <f t="shared" si="2"/>
        <v>299</v>
      </c>
      <c r="I86" s="17">
        <f t="shared" si="3"/>
        <v>0</v>
      </c>
      <c r="J86" s="17">
        <f t="shared" si="4"/>
        <v>299</v>
      </c>
      <c r="K86" s="17" t="str">
        <f t="shared" si="5"/>
        <v>2026</v>
      </c>
      <c r="L86" s="17">
        <f t="shared" si="6"/>
        <v>5</v>
      </c>
      <c r="M86" s="18" t="str">
        <f t="shared" si="7"/>
        <v>2026-05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">
        <v>1.78343805173E11</v>
      </c>
      <c r="B87" s="1" t="s">
        <v>101</v>
      </c>
      <c r="C87" s="1" t="s">
        <v>14</v>
      </c>
      <c r="D87" s="4">
        <v>46143.70208333333</v>
      </c>
      <c r="E87" s="1" t="s">
        <v>81</v>
      </c>
      <c r="F87" s="1">
        <v>998.0</v>
      </c>
      <c r="G87" s="2" t="str">
        <f t="shared" si="1"/>
        <v>Verloren</v>
      </c>
      <c r="H87" s="5">
        <f t="shared" si="2"/>
        <v>0</v>
      </c>
      <c r="I87" s="5">
        <f t="shared" si="3"/>
        <v>0</v>
      </c>
      <c r="J87" s="5">
        <f t="shared" si="4"/>
        <v>0</v>
      </c>
      <c r="K87" s="5" t="str">
        <f t="shared" si="5"/>
        <v>2026</v>
      </c>
      <c r="L87" s="5">
        <f t="shared" si="6"/>
        <v>5</v>
      </c>
      <c r="M87" s="6" t="str">
        <f t="shared" si="7"/>
        <v>2026-05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1">
        <v>4.50652125392E11</v>
      </c>
      <c r="B88" s="1" t="s">
        <v>102</v>
      </c>
      <c r="C88" s="1" t="s">
        <v>14</v>
      </c>
      <c r="D88" s="4">
        <v>46143.291666666664</v>
      </c>
      <c r="E88" s="3"/>
      <c r="F88" s="1">
        <v>299.0</v>
      </c>
      <c r="G88" s="2" t="str">
        <f t="shared" si="1"/>
        <v>Verloren</v>
      </c>
      <c r="H88" s="5">
        <f t="shared" si="2"/>
        <v>0</v>
      </c>
      <c r="I88" s="5">
        <f t="shared" si="3"/>
        <v>0</v>
      </c>
      <c r="J88" s="5">
        <f t="shared" si="4"/>
        <v>0</v>
      </c>
      <c r="K88" s="5" t="str">
        <f t="shared" si="5"/>
        <v>2026</v>
      </c>
      <c r="L88" s="5">
        <f t="shared" si="6"/>
        <v>5</v>
      </c>
      <c r="M88" s="6" t="str">
        <f t="shared" si="7"/>
        <v>2026-05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1">
        <v>4.40214229202E11</v>
      </c>
      <c r="B89" s="1" t="s">
        <v>103</v>
      </c>
      <c r="C89" s="1" t="s">
        <v>14</v>
      </c>
      <c r="D89" s="4">
        <v>46143.291666666664</v>
      </c>
      <c r="E89" s="3"/>
      <c r="F89" s="1">
        <v>225.0</v>
      </c>
      <c r="G89" s="2" t="str">
        <f t="shared" si="1"/>
        <v>Verloren</v>
      </c>
      <c r="H89" s="5">
        <f t="shared" si="2"/>
        <v>0</v>
      </c>
      <c r="I89" s="5">
        <f t="shared" si="3"/>
        <v>0</v>
      </c>
      <c r="J89" s="5">
        <f t="shared" si="4"/>
        <v>0</v>
      </c>
      <c r="K89" s="5" t="str">
        <f t="shared" si="5"/>
        <v>2026</v>
      </c>
      <c r="L89" s="5">
        <f t="shared" si="6"/>
        <v>5</v>
      </c>
      <c r="M89" s="6" t="str">
        <f t="shared" si="7"/>
        <v>2026-05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1">
        <v>3.72551603426E11</v>
      </c>
      <c r="B90" s="1" t="s">
        <v>104</v>
      </c>
      <c r="C90" s="1" t="s">
        <v>14</v>
      </c>
      <c r="D90" s="4">
        <v>46143.291666666664</v>
      </c>
      <c r="E90" s="3"/>
      <c r="F90" s="1">
        <v>149.0</v>
      </c>
      <c r="G90" s="2" t="str">
        <f t="shared" si="1"/>
        <v>Verloren</v>
      </c>
      <c r="H90" s="5">
        <f t="shared" si="2"/>
        <v>0</v>
      </c>
      <c r="I90" s="5">
        <f t="shared" si="3"/>
        <v>0</v>
      </c>
      <c r="J90" s="5">
        <f t="shared" si="4"/>
        <v>0</v>
      </c>
      <c r="K90" s="5" t="str">
        <f t="shared" si="5"/>
        <v>2026</v>
      </c>
      <c r="L90" s="5">
        <f t="shared" si="6"/>
        <v>5</v>
      </c>
      <c r="M90" s="6" t="str">
        <f t="shared" si="7"/>
        <v>2026-05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1">
        <v>4.6566684077E11</v>
      </c>
      <c r="B91" s="1" t="s">
        <v>105</v>
      </c>
      <c r="C91" s="1" t="s">
        <v>14</v>
      </c>
      <c r="D91" s="4">
        <v>46137.291666666664</v>
      </c>
      <c r="E91" s="3"/>
      <c r="F91" s="1">
        <v>225.0</v>
      </c>
      <c r="G91" s="2" t="str">
        <f t="shared" si="1"/>
        <v>Verloren</v>
      </c>
      <c r="H91" s="5">
        <f t="shared" si="2"/>
        <v>0</v>
      </c>
      <c r="I91" s="5">
        <f t="shared" si="3"/>
        <v>0</v>
      </c>
      <c r="J91" s="5">
        <f t="shared" si="4"/>
        <v>0</v>
      </c>
      <c r="K91" s="5" t="str">
        <f t="shared" si="5"/>
        <v>2026</v>
      </c>
      <c r="L91" s="5">
        <f t="shared" si="6"/>
        <v>4</v>
      </c>
      <c r="M91" s="6" t="str">
        <f t="shared" si="7"/>
        <v>2026-04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1">
        <v>4.44012043468E11</v>
      </c>
      <c r="B92" s="1" t="s">
        <v>106</v>
      </c>
      <c r="C92" s="1" t="s">
        <v>14</v>
      </c>
      <c r="D92" s="4">
        <v>46137.291666666664</v>
      </c>
      <c r="E92" s="3"/>
      <c r="F92" s="1">
        <v>299.0</v>
      </c>
      <c r="G92" s="2" t="str">
        <f t="shared" si="1"/>
        <v>Verloren</v>
      </c>
      <c r="H92" s="5">
        <f t="shared" si="2"/>
        <v>0</v>
      </c>
      <c r="I92" s="5">
        <f t="shared" si="3"/>
        <v>0</v>
      </c>
      <c r="J92" s="5">
        <f t="shared" si="4"/>
        <v>0</v>
      </c>
      <c r="K92" s="5" t="str">
        <f t="shared" si="5"/>
        <v>2026</v>
      </c>
      <c r="L92" s="5">
        <f t="shared" si="6"/>
        <v>4</v>
      </c>
      <c r="M92" s="6" t="str">
        <f t="shared" si="7"/>
        <v>2026-04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13">
        <v>3.95709907154E11</v>
      </c>
      <c r="B93" s="13" t="s">
        <v>107</v>
      </c>
      <c r="C93" s="13" t="s">
        <v>22</v>
      </c>
      <c r="D93" s="14">
        <v>46137.291666666664</v>
      </c>
      <c r="E93" s="15"/>
      <c r="F93" s="13">
        <v>299.0</v>
      </c>
      <c r="G93" s="16" t="str">
        <f t="shared" si="1"/>
        <v>Omzet</v>
      </c>
      <c r="H93" s="17">
        <f t="shared" si="2"/>
        <v>299</v>
      </c>
      <c r="I93" s="17">
        <f t="shared" si="3"/>
        <v>0</v>
      </c>
      <c r="J93" s="17">
        <f t="shared" si="4"/>
        <v>299</v>
      </c>
      <c r="K93" s="17" t="str">
        <f t="shared" si="5"/>
        <v>2026</v>
      </c>
      <c r="L93" s="17">
        <f t="shared" si="6"/>
        <v>4</v>
      </c>
      <c r="M93" s="18" t="str">
        <f t="shared" si="7"/>
        <v>2026-04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3">
        <v>2.55297327309E11</v>
      </c>
      <c r="B94" s="13" t="s">
        <v>108</v>
      </c>
      <c r="C94" s="13" t="s">
        <v>14</v>
      </c>
      <c r="D94" s="14">
        <v>46134.291666666664</v>
      </c>
      <c r="E94" s="15"/>
      <c r="F94" s="13">
        <v>299.0</v>
      </c>
      <c r="G94" s="16" t="s">
        <v>14</v>
      </c>
      <c r="H94" s="17">
        <f t="shared" si="2"/>
        <v>0</v>
      </c>
      <c r="I94" s="17">
        <f t="shared" si="3"/>
        <v>0</v>
      </c>
      <c r="J94" s="17">
        <f t="shared" si="4"/>
        <v>0</v>
      </c>
      <c r="K94" s="17" t="str">
        <f t="shared" si="5"/>
        <v>2026</v>
      </c>
      <c r="L94" s="17">
        <f t="shared" si="6"/>
        <v>4</v>
      </c>
      <c r="M94" s="18" t="str">
        <f t="shared" si="7"/>
        <v>2026-04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9">
        <v>3.95075136744E11</v>
      </c>
      <c r="B95" s="19" t="s">
        <v>109</v>
      </c>
      <c r="C95" s="19" t="s">
        <v>22</v>
      </c>
      <c r="D95" s="20">
        <v>46133.67152777778</v>
      </c>
      <c r="E95" s="19" t="s">
        <v>81</v>
      </c>
      <c r="F95" s="19">
        <v>599.0</v>
      </c>
      <c r="G95" s="21" t="str">
        <f t="shared" ref="G95:G170" si="8">IF(C95="Verloren", "Verloren", IF(OR(C95="Wachten op Klant", C95="Klant Nabellen", C95="Herinnering", C95="In Gesprek", C95="Klant Nabellen (SMS)"), "Te Winnen", "Omzet"))
</f>
        <v>Omzet</v>
      </c>
      <c r="H95" s="22">
        <f t="shared" si="2"/>
        <v>599</v>
      </c>
      <c r="I95" s="22">
        <f t="shared" si="3"/>
        <v>0</v>
      </c>
      <c r="J95" s="22">
        <f t="shared" si="4"/>
        <v>599</v>
      </c>
      <c r="K95" s="22" t="str">
        <f t="shared" si="5"/>
        <v>2026</v>
      </c>
      <c r="L95" s="22">
        <f t="shared" si="6"/>
        <v>4</v>
      </c>
      <c r="M95" s="23" t="str">
        <f t="shared" si="7"/>
        <v>2026-04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1">
        <v>4.67632891123E11</v>
      </c>
      <c r="B96" s="1" t="s">
        <v>110</v>
      </c>
      <c r="C96" s="1" t="s">
        <v>14</v>
      </c>
      <c r="D96" s="4">
        <v>46130.291666666664</v>
      </c>
      <c r="E96" s="3"/>
      <c r="F96" s="1">
        <v>225.0</v>
      </c>
      <c r="G96" s="2" t="str">
        <f t="shared" si="8"/>
        <v>Verloren</v>
      </c>
      <c r="H96" s="5">
        <f t="shared" si="2"/>
        <v>0</v>
      </c>
      <c r="I96" s="5">
        <f t="shared" si="3"/>
        <v>0</v>
      </c>
      <c r="J96" s="5">
        <f t="shared" si="4"/>
        <v>0</v>
      </c>
      <c r="K96" s="5" t="str">
        <f t="shared" si="5"/>
        <v>2026</v>
      </c>
      <c r="L96" s="5">
        <f t="shared" si="6"/>
        <v>4</v>
      </c>
      <c r="M96" s="6" t="str">
        <f t="shared" si="7"/>
        <v>2026-04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1">
        <v>4.4507379014E11</v>
      </c>
      <c r="B97" s="1" t="s">
        <v>111</v>
      </c>
      <c r="C97" s="1" t="s">
        <v>14</v>
      </c>
      <c r="D97" s="4">
        <v>46130.291666666664</v>
      </c>
      <c r="E97" s="3"/>
      <c r="F97" s="1">
        <v>499.0</v>
      </c>
      <c r="G97" s="2" t="str">
        <f t="shared" si="8"/>
        <v>Verloren</v>
      </c>
      <c r="H97" s="5">
        <f t="shared" si="2"/>
        <v>0</v>
      </c>
      <c r="I97" s="5">
        <f t="shared" si="3"/>
        <v>0</v>
      </c>
      <c r="J97" s="5">
        <f t="shared" si="4"/>
        <v>0</v>
      </c>
      <c r="K97" s="5" t="str">
        <f t="shared" si="5"/>
        <v>2026</v>
      </c>
      <c r="L97" s="5">
        <f t="shared" si="6"/>
        <v>4</v>
      </c>
      <c r="M97" s="6" t="str">
        <f t="shared" si="7"/>
        <v>2026-04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1">
        <v>4.67164311749E11</v>
      </c>
      <c r="B98" s="1" t="s">
        <v>112</v>
      </c>
      <c r="C98" s="1" t="s">
        <v>14</v>
      </c>
      <c r="D98" s="4">
        <v>46123.291666666664</v>
      </c>
      <c r="E98" s="3"/>
      <c r="F98" s="1">
        <v>189.0</v>
      </c>
      <c r="G98" s="2" t="str">
        <f t="shared" si="8"/>
        <v>Verloren</v>
      </c>
      <c r="H98" s="5">
        <f t="shared" si="2"/>
        <v>0</v>
      </c>
      <c r="I98" s="5">
        <f t="shared" si="3"/>
        <v>0</v>
      </c>
      <c r="J98" s="5">
        <f t="shared" si="4"/>
        <v>0</v>
      </c>
      <c r="K98" s="5" t="str">
        <f t="shared" si="5"/>
        <v>2026</v>
      </c>
      <c r="L98" s="5">
        <f t="shared" si="6"/>
        <v>4</v>
      </c>
      <c r="M98" s="6" t="str">
        <f t="shared" si="7"/>
        <v>2026-04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1">
        <v>2.74629133535E11</v>
      </c>
      <c r="B99" s="1" t="s">
        <v>113</v>
      </c>
      <c r="C99" s="1" t="s">
        <v>14</v>
      </c>
      <c r="D99" s="4">
        <v>46123.291666666664</v>
      </c>
      <c r="E99" s="3"/>
      <c r="F99" s="1">
        <v>649.0</v>
      </c>
      <c r="G99" s="2" t="str">
        <f t="shared" si="8"/>
        <v>Verloren</v>
      </c>
      <c r="H99" s="5">
        <f t="shared" si="2"/>
        <v>0</v>
      </c>
      <c r="I99" s="5">
        <f t="shared" si="3"/>
        <v>0</v>
      </c>
      <c r="J99" s="5">
        <f t="shared" si="4"/>
        <v>0</v>
      </c>
      <c r="K99" s="5" t="str">
        <f t="shared" si="5"/>
        <v>2026</v>
      </c>
      <c r="L99" s="5">
        <f t="shared" si="6"/>
        <v>4</v>
      </c>
      <c r="M99" s="6" t="str">
        <f t="shared" si="7"/>
        <v>2026-04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1">
        <v>4.76892088513E11</v>
      </c>
      <c r="B100" s="1" t="s">
        <v>114</v>
      </c>
      <c r="C100" s="1" t="s">
        <v>14</v>
      </c>
      <c r="D100" s="4">
        <v>46116.291666666664</v>
      </c>
      <c r="E100" s="3"/>
      <c r="F100" s="1">
        <v>499.0</v>
      </c>
      <c r="G100" s="2" t="str">
        <f t="shared" si="8"/>
        <v>Verloren</v>
      </c>
      <c r="H100" s="5">
        <f t="shared" si="2"/>
        <v>0</v>
      </c>
      <c r="I100" s="5">
        <f t="shared" si="3"/>
        <v>0</v>
      </c>
      <c r="J100" s="5">
        <f t="shared" si="4"/>
        <v>0</v>
      </c>
      <c r="K100" s="5" t="str">
        <f t="shared" si="5"/>
        <v>2026</v>
      </c>
      <c r="L100" s="5">
        <f t="shared" si="6"/>
        <v>4</v>
      </c>
      <c r="M100" s="6" t="str">
        <f t="shared" si="7"/>
        <v>2026-04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13">
        <v>4.55173440714E11</v>
      </c>
      <c r="B101" s="13" t="s">
        <v>115</v>
      </c>
      <c r="C101" s="13" t="s">
        <v>22</v>
      </c>
      <c r="D101" s="14">
        <v>46116.291666666664</v>
      </c>
      <c r="E101" s="15"/>
      <c r="F101" s="13">
        <v>299.0</v>
      </c>
      <c r="G101" s="16" t="str">
        <f t="shared" si="8"/>
        <v>Omzet</v>
      </c>
      <c r="H101" s="17">
        <f t="shared" si="2"/>
        <v>299</v>
      </c>
      <c r="I101" s="17">
        <f t="shared" si="3"/>
        <v>0</v>
      </c>
      <c r="J101" s="17">
        <f t="shared" si="4"/>
        <v>299</v>
      </c>
      <c r="K101" s="17" t="str">
        <f t="shared" si="5"/>
        <v>2026</v>
      </c>
      <c r="L101" s="17">
        <f t="shared" si="6"/>
        <v>4</v>
      </c>
      <c r="M101" s="18" t="str">
        <f t="shared" si="7"/>
        <v>2026-04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">
        <v>4.52627718371E11</v>
      </c>
      <c r="B102" s="1" t="s">
        <v>116</v>
      </c>
      <c r="C102" s="1" t="s">
        <v>14</v>
      </c>
      <c r="D102" s="4">
        <v>46116.291666666664</v>
      </c>
      <c r="E102" s="3"/>
      <c r="F102" s="1">
        <v>299.0</v>
      </c>
      <c r="G102" s="2" t="str">
        <f t="shared" si="8"/>
        <v>Verloren</v>
      </c>
      <c r="H102" s="5">
        <f t="shared" si="2"/>
        <v>0</v>
      </c>
      <c r="I102" s="5">
        <f t="shared" si="3"/>
        <v>0</v>
      </c>
      <c r="J102" s="5">
        <f t="shared" si="4"/>
        <v>0</v>
      </c>
      <c r="K102" s="5" t="str">
        <f t="shared" si="5"/>
        <v>2026</v>
      </c>
      <c r="L102" s="5">
        <f t="shared" si="6"/>
        <v>4</v>
      </c>
      <c r="M102" s="6" t="str">
        <f t="shared" si="7"/>
        <v>2026-04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1">
        <v>4.49133193441E11</v>
      </c>
      <c r="B103" s="1" t="s">
        <v>117</v>
      </c>
      <c r="C103" s="1" t="s">
        <v>14</v>
      </c>
      <c r="D103" s="4">
        <v>46116.291666666664</v>
      </c>
      <c r="E103" s="3"/>
      <c r="F103" s="1">
        <v>225.0</v>
      </c>
      <c r="G103" s="2" t="str">
        <f t="shared" si="8"/>
        <v>Verloren</v>
      </c>
      <c r="H103" s="5">
        <f t="shared" si="2"/>
        <v>0</v>
      </c>
      <c r="I103" s="5">
        <f t="shared" si="3"/>
        <v>0</v>
      </c>
      <c r="J103" s="5">
        <f t="shared" si="4"/>
        <v>0</v>
      </c>
      <c r="K103" s="5" t="str">
        <f t="shared" si="5"/>
        <v>2026</v>
      </c>
      <c r="L103" s="5">
        <f t="shared" si="6"/>
        <v>4</v>
      </c>
      <c r="M103" s="6" t="str">
        <f t="shared" si="7"/>
        <v>2026-04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">
        <v>3.76040962239E11</v>
      </c>
      <c r="B104" s="1" t="s">
        <v>118</v>
      </c>
      <c r="C104" s="1" t="s">
        <v>14</v>
      </c>
      <c r="D104" s="4">
        <v>46116.291666666664</v>
      </c>
      <c r="E104" s="3"/>
      <c r="F104" s="1">
        <v>499.0</v>
      </c>
      <c r="G104" s="2" t="str">
        <f t="shared" si="8"/>
        <v>Verloren</v>
      </c>
      <c r="H104" s="5">
        <f t="shared" si="2"/>
        <v>0</v>
      </c>
      <c r="I104" s="5">
        <f t="shared" si="3"/>
        <v>0</v>
      </c>
      <c r="J104" s="5">
        <f t="shared" si="4"/>
        <v>0</v>
      </c>
      <c r="K104" s="5" t="str">
        <f t="shared" si="5"/>
        <v>2026</v>
      </c>
      <c r="L104" s="5">
        <f t="shared" si="6"/>
        <v>4</v>
      </c>
      <c r="M104" s="6" t="str">
        <f t="shared" si="7"/>
        <v>2026-04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1">
        <v>2.50126645437E11</v>
      </c>
      <c r="B105" s="1" t="s">
        <v>119</v>
      </c>
      <c r="C105" s="1" t="s">
        <v>14</v>
      </c>
      <c r="D105" s="4">
        <v>46116.291666666664</v>
      </c>
      <c r="E105" s="3"/>
      <c r="F105" s="1">
        <v>299.0</v>
      </c>
      <c r="G105" s="2" t="str">
        <f t="shared" si="8"/>
        <v>Verloren</v>
      </c>
      <c r="H105" s="5">
        <f t="shared" si="2"/>
        <v>0</v>
      </c>
      <c r="I105" s="5">
        <f t="shared" si="3"/>
        <v>0</v>
      </c>
      <c r="J105" s="5">
        <f t="shared" si="4"/>
        <v>0</v>
      </c>
      <c r="K105" s="5" t="str">
        <f t="shared" si="5"/>
        <v>2026</v>
      </c>
      <c r="L105" s="5">
        <f t="shared" si="6"/>
        <v>4</v>
      </c>
      <c r="M105" s="6" t="str">
        <f t="shared" si="7"/>
        <v>2026-04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1">
        <v>4.66854569169E11</v>
      </c>
      <c r="B106" s="1" t="s">
        <v>120</v>
      </c>
      <c r="C106" s="1" t="s">
        <v>14</v>
      </c>
      <c r="D106" s="4">
        <v>46108.25</v>
      </c>
      <c r="E106" s="3"/>
      <c r="F106" s="1">
        <v>189.0</v>
      </c>
      <c r="G106" s="2" t="str">
        <f t="shared" si="8"/>
        <v>Verloren</v>
      </c>
      <c r="H106" s="5">
        <f t="shared" si="2"/>
        <v>0</v>
      </c>
      <c r="I106" s="5">
        <f t="shared" si="3"/>
        <v>0</v>
      </c>
      <c r="J106" s="5">
        <f t="shared" si="4"/>
        <v>0</v>
      </c>
      <c r="K106" s="5" t="str">
        <f t="shared" si="5"/>
        <v>2026</v>
      </c>
      <c r="L106" s="5">
        <f t="shared" si="6"/>
        <v>3</v>
      </c>
      <c r="M106" s="6" t="str">
        <f t="shared" si="7"/>
        <v>2026-03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1">
        <v>4.66497348824E11</v>
      </c>
      <c r="B107" s="1" t="s">
        <v>121</v>
      </c>
      <c r="C107" s="1" t="s">
        <v>14</v>
      </c>
      <c r="D107" s="4">
        <v>46102.25</v>
      </c>
      <c r="E107" s="3"/>
      <c r="F107" s="1">
        <v>189.0</v>
      </c>
      <c r="G107" s="2" t="str">
        <f t="shared" si="8"/>
        <v>Verloren</v>
      </c>
      <c r="H107" s="5">
        <f t="shared" si="2"/>
        <v>0</v>
      </c>
      <c r="I107" s="5">
        <f t="shared" si="3"/>
        <v>0</v>
      </c>
      <c r="J107" s="5">
        <f t="shared" si="4"/>
        <v>0</v>
      </c>
      <c r="K107" s="5" t="str">
        <f t="shared" si="5"/>
        <v>2026</v>
      </c>
      <c r="L107" s="5">
        <f t="shared" si="6"/>
        <v>3</v>
      </c>
      <c r="M107" s="6" t="str">
        <f t="shared" si="7"/>
        <v>2026-03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1">
        <v>4.45129249006E11</v>
      </c>
      <c r="B108" s="1" t="s">
        <v>122</v>
      </c>
      <c r="C108" s="1" t="s">
        <v>14</v>
      </c>
      <c r="D108" s="4">
        <v>46102.25</v>
      </c>
      <c r="E108" s="3"/>
      <c r="F108" s="1">
        <v>299.0</v>
      </c>
      <c r="G108" s="2" t="str">
        <f t="shared" si="8"/>
        <v>Verloren</v>
      </c>
      <c r="H108" s="5">
        <f t="shared" si="2"/>
        <v>0</v>
      </c>
      <c r="I108" s="5">
        <f t="shared" si="3"/>
        <v>0</v>
      </c>
      <c r="J108" s="5">
        <f t="shared" si="4"/>
        <v>0</v>
      </c>
      <c r="K108" s="5" t="str">
        <f t="shared" si="5"/>
        <v>2026</v>
      </c>
      <c r="L108" s="5">
        <f t="shared" si="6"/>
        <v>3</v>
      </c>
      <c r="M108" s="6" t="str">
        <f t="shared" si="7"/>
        <v>2026-03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1">
        <v>4.90375189717E11</v>
      </c>
      <c r="B109" s="1" t="s">
        <v>123</v>
      </c>
      <c r="C109" s="1" t="s">
        <v>14</v>
      </c>
      <c r="D109" s="4">
        <v>46098.25</v>
      </c>
      <c r="E109" s="3"/>
      <c r="F109" s="1">
        <v>299.0</v>
      </c>
      <c r="G109" s="2" t="str">
        <f t="shared" si="8"/>
        <v>Verloren</v>
      </c>
      <c r="H109" s="5">
        <f t="shared" si="2"/>
        <v>0</v>
      </c>
      <c r="I109" s="5">
        <f t="shared" si="3"/>
        <v>0</v>
      </c>
      <c r="J109" s="5">
        <f t="shared" si="4"/>
        <v>0</v>
      </c>
      <c r="K109" s="5" t="str">
        <f t="shared" si="5"/>
        <v>2026</v>
      </c>
      <c r="L109" s="5">
        <f t="shared" si="6"/>
        <v>3</v>
      </c>
      <c r="M109" s="6" t="str">
        <f t="shared" si="7"/>
        <v>2026-03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1">
        <v>4.46771800251E11</v>
      </c>
      <c r="B110" s="1" t="s">
        <v>124</v>
      </c>
      <c r="C110" s="1" t="s">
        <v>14</v>
      </c>
      <c r="D110" s="4">
        <v>46098.25</v>
      </c>
      <c r="E110" s="3"/>
      <c r="F110" s="1">
        <v>169.0</v>
      </c>
      <c r="G110" s="2" t="str">
        <f t="shared" si="8"/>
        <v>Verloren</v>
      </c>
      <c r="H110" s="5">
        <f t="shared" si="2"/>
        <v>0</v>
      </c>
      <c r="I110" s="5">
        <f t="shared" si="3"/>
        <v>0</v>
      </c>
      <c r="J110" s="5">
        <f t="shared" si="4"/>
        <v>0</v>
      </c>
      <c r="K110" s="5" t="str">
        <f t="shared" si="5"/>
        <v>2026</v>
      </c>
      <c r="L110" s="5">
        <f t="shared" si="6"/>
        <v>3</v>
      </c>
      <c r="M110" s="6" t="str">
        <f t="shared" si="7"/>
        <v>2026-03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1">
        <v>4.69275380943E11</v>
      </c>
      <c r="B111" s="1" t="s">
        <v>125</v>
      </c>
      <c r="C111" s="1" t="s">
        <v>14</v>
      </c>
      <c r="D111" s="4">
        <v>46095.25</v>
      </c>
      <c r="E111" s="3"/>
      <c r="F111" s="1">
        <v>225.0</v>
      </c>
      <c r="G111" s="2" t="str">
        <f t="shared" si="8"/>
        <v>Verloren</v>
      </c>
      <c r="H111" s="5">
        <f t="shared" si="2"/>
        <v>0</v>
      </c>
      <c r="I111" s="5">
        <f t="shared" si="3"/>
        <v>0</v>
      </c>
      <c r="J111" s="5">
        <f t="shared" si="4"/>
        <v>0</v>
      </c>
      <c r="K111" s="5" t="str">
        <f t="shared" si="5"/>
        <v>2026</v>
      </c>
      <c r="L111" s="5">
        <f t="shared" si="6"/>
        <v>3</v>
      </c>
      <c r="M111" s="6" t="str">
        <f t="shared" si="7"/>
        <v>2026-03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19">
        <v>4.43965269182E11</v>
      </c>
      <c r="B112" s="19" t="s">
        <v>126</v>
      </c>
      <c r="C112" s="19" t="s">
        <v>127</v>
      </c>
      <c r="D112" s="20">
        <v>46095.25</v>
      </c>
      <c r="E112" s="24"/>
      <c r="F112" s="19">
        <v>189.0</v>
      </c>
      <c r="G112" s="21" t="str">
        <f t="shared" si="8"/>
        <v>Omzet</v>
      </c>
      <c r="H112" s="22">
        <f t="shared" si="2"/>
        <v>189</v>
      </c>
      <c r="I112" s="21" t="s">
        <v>128</v>
      </c>
      <c r="J112" s="22">
        <f t="shared" si="4"/>
        <v>189</v>
      </c>
      <c r="K112" s="22" t="str">
        <f t="shared" si="5"/>
        <v>2026</v>
      </c>
      <c r="L112" s="22">
        <f t="shared" si="6"/>
        <v>3</v>
      </c>
      <c r="M112" s="23" t="str">
        <f t="shared" si="7"/>
        <v>2026-03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1">
        <v>4.14633363659E11</v>
      </c>
      <c r="B113" s="1" t="s">
        <v>129</v>
      </c>
      <c r="C113" s="1" t="s">
        <v>14</v>
      </c>
      <c r="D113" s="4">
        <v>46090.54861111111</v>
      </c>
      <c r="E113" s="1" t="s">
        <v>81</v>
      </c>
      <c r="F113" s="1">
        <v>3995.0</v>
      </c>
      <c r="G113" s="2" t="str">
        <f t="shared" si="8"/>
        <v>Verloren</v>
      </c>
      <c r="H113" s="5">
        <f t="shared" si="2"/>
        <v>0</v>
      </c>
      <c r="I113" s="5">
        <f t="shared" ref="I113:I170" si="9">if(G113="te winnen",F113,0)</f>
        <v>0</v>
      </c>
      <c r="J113" s="5">
        <f t="shared" si="4"/>
        <v>0</v>
      </c>
      <c r="K113" s="5" t="str">
        <f t="shared" si="5"/>
        <v>2026</v>
      </c>
      <c r="L113" s="5">
        <f t="shared" si="6"/>
        <v>3</v>
      </c>
      <c r="M113" s="6" t="str">
        <f t="shared" si="7"/>
        <v>2026-03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1">
        <v>4.41998202047E11</v>
      </c>
      <c r="B114" s="1" t="s">
        <v>130</v>
      </c>
      <c r="C114" s="1" t="s">
        <v>131</v>
      </c>
      <c r="D114" s="4">
        <v>46088.291666666664</v>
      </c>
      <c r="E114" s="3"/>
      <c r="F114" s="1">
        <v>299.0</v>
      </c>
      <c r="G114" s="2" t="str">
        <f t="shared" si="8"/>
        <v>Omzet</v>
      </c>
      <c r="H114" s="5">
        <f t="shared" si="2"/>
        <v>299</v>
      </c>
      <c r="I114" s="5">
        <f t="shared" si="9"/>
        <v>0</v>
      </c>
      <c r="J114" s="5">
        <f t="shared" si="4"/>
        <v>299</v>
      </c>
      <c r="K114" s="5" t="str">
        <f t="shared" si="5"/>
        <v>2026</v>
      </c>
      <c r="L114" s="5">
        <f t="shared" si="6"/>
        <v>3</v>
      </c>
      <c r="M114" s="6" t="str">
        <f t="shared" si="7"/>
        <v>2026-03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1">
        <v>4.40889175281E11</v>
      </c>
      <c r="B115" s="1" t="s">
        <v>132</v>
      </c>
      <c r="C115" s="1" t="s">
        <v>14</v>
      </c>
      <c r="D115" s="4">
        <v>46088.291666666664</v>
      </c>
      <c r="E115" s="3"/>
      <c r="F115" s="1">
        <v>299.0</v>
      </c>
      <c r="G115" s="2" t="str">
        <f t="shared" si="8"/>
        <v>Verloren</v>
      </c>
      <c r="H115" s="5">
        <f t="shared" si="2"/>
        <v>0</v>
      </c>
      <c r="I115" s="5">
        <f t="shared" si="9"/>
        <v>0</v>
      </c>
      <c r="J115" s="5">
        <f t="shared" si="4"/>
        <v>0</v>
      </c>
      <c r="K115" s="5" t="str">
        <f t="shared" si="5"/>
        <v>2026</v>
      </c>
      <c r="L115" s="5">
        <f t="shared" si="6"/>
        <v>3</v>
      </c>
      <c r="M115" s="6" t="str">
        <f t="shared" si="7"/>
        <v>2026-03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1">
        <v>4.28927073509E11</v>
      </c>
      <c r="B116" s="1" t="s">
        <v>133</v>
      </c>
      <c r="C116" s="1" t="s">
        <v>14</v>
      </c>
      <c r="D116" s="4">
        <v>46088.291666666664</v>
      </c>
      <c r="E116" s="3"/>
      <c r="F116" s="1">
        <v>299.0</v>
      </c>
      <c r="G116" s="2" t="str">
        <f t="shared" si="8"/>
        <v>Verloren</v>
      </c>
      <c r="H116" s="5">
        <f t="shared" si="2"/>
        <v>0</v>
      </c>
      <c r="I116" s="5">
        <f t="shared" si="9"/>
        <v>0</v>
      </c>
      <c r="J116" s="5">
        <f t="shared" si="4"/>
        <v>0</v>
      </c>
      <c r="K116" s="5" t="str">
        <f t="shared" si="5"/>
        <v>2026</v>
      </c>
      <c r="L116" s="5">
        <f t="shared" si="6"/>
        <v>3</v>
      </c>
      <c r="M116" s="6" t="str">
        <f t="shared" si="7"/>
        <v>2026-03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1">
        <v>4.26743067855E11</v>
      </c>
      <c r="B117" s="1" t="s">
        <v>134</v>
      </c>
      <c r="C117" s="1" t="s">
        <v>14</v>
      </c>
      <c r="D117" s="4">
        <v>46088.291666666664</v>
      </c>
      <c r="E117" s="3"/>
      <c r="F117" s="1">
        <v>225.0</v>
      </c>
      <c r="G117" s="2" t="str">
        <f t="shared" si="8"/>
        <v>Verloren</v>
      </c>
      <c r="H117" s="5">
        <f t="shared" si="2"/>
        <v>0</v>
      </c>
      <c r="I117" s="5">
        <f t="shared" si="9"/>
        <v>0</v>
      </c>
      <c r="J117" s="5">
        <f t="shared" si="4"/>
        <v>0</v>
      </c>
      <c r="K117" s="5" t="str">
        <f t="shared" si="5"/>
        <v>2026</v>
      </c>
      <c r="L117" s="5">
        <f t="shared" si="6"/>
        <v>3</v>
      </c>
      <c r="M117" s="6" t="str">
        <f t="shared" si="7"/>
        <v>2026-03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1">
        <v>4.54215754952E11</v>
      </c>
      <c r="B118" s="1" t="s">
        <v>135</v>
      </c>
      <c r="C118" s="1" t="s">
        <v>131</v>
      </c>
      <c r="D118" s="4">
        <v>46082.291666666664</v>
      </c>
      <c r="E118" s="3"/>
      <c r="F118" s="1">
        <v>299.0</v>
      </c>
      <c r="G118" s="2" t="str">
        <f t="shared" si="8"/>
        <v>Omzet</v>
      </c>
      <c r="H118" s="5">
        <f t="shared" si="2"/>
        <v>299</v>
      </c>
      <c r="I118" s="5">
        <f t="shared" si="9"/>
        <v>0</v>
      </c>
      <c r="J118" s="5">
        <f t="shared" si="4"/>
        <v>299</v>
      </c>
      <c r="K118" s="5" t="str">
        <f t="shared" si="5"/>
        <v>2026</v>
      </c>
      <c r="L118" s="5">
        <f t="shared" si="6"/>
        <v>3</v>
      </c>
      <c r="M118" s="6" t="str">
        <f t="shared" si="7"/>
        <v>2026-03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1">
        <v>4.6684038062E11</v>
      </c>
      <c r="B119" s="1" t="s">
        <v>136</v>
      </c>
      <c r="C119" s="1" t="s">
        <v>131</v>
      </c>
      <c r="D119" s="4">
        <v>46081.291666666664</v>
      </c>
      <c r="E119" s="3"/>
      <c r="F119" s="1">
        <v>299.0</v>
      </c>
      <c r="G119" s="2" t="str">
        <f t="shared" si="8"/>
        <v>Omzet</v>
      </c>
      <c r="H119" s="5">
        <f t="shared" si="2"/>
        <v>299</v>
      </c>
      <c r="I119" s="5">
        <f t="shared" si="9"/>
        <v>0</v>
      </c>
      <c r="J119" s="5">
        <f t="shared" si="4"/>
        <v>299</v>
      </c>
      <c r="K119" s="5" t="str">
        <f t="shared" si="5"/>
        <v>2026</v>
      </c>
      <c r="L119" s="5">
        <f t="shared" si="6"/>
        <v>2</v>
      </c>
      <c r="M119" s="6" t="str">
        <f t="shared" si="7"/>
        <v>2026-02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1">
        <v>3.02085686462E11</v>
      </c>
      <c r="B120" s="1" t="s">
        <v>137</v>
      </c>
      <c r="C120" s="1" t="s">
        <v>131</v>
      </c>
      <c r="D120" s="4">
        <v>46079.291666666664</v>
      </c>
      <c r="E120" s="3"/>
      <c r="F120" s="1">
        <v>709.0</v>
      </c>
      <c r="G120" s="2" t="str">
        <f t="shared" si="8"/>
        <v>Omzet</v>
      </c>
      <c r="H120" s="5">
        <f t="shared" si="2"/>
        <v>709</v>
      </c>
      <c r="I120" s="5">
        <f t="shared" si="9"/>
        <v>0</v>
      </c>
      <c r="J120" s="5">
        <f t="shared" si="4"/>
        <v>709</v>
      </c>
      <c r="K120" s="5" t="str">
        <f t="shared" si="5"/>
        <v>2026</v>
      </c>
      <c r="L120" s="5">
        <f t="shared" si="6"/>
        <v>2</v>
      </c>
      <c r="M120" s="6" t="str">
        <f t="shared" si="7"/>
        <v>2026-02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1">
        <v>3.47533987011E11</v>
      </c>
      <c r="B121" s="1" t="s">
        <v>138</v>
      </c>
      <c r="C121" s="1" t="s">
        <v>131</v>
      </c>
      <c r="D121" s="4">
        <v>46074.60555555556</v>
      </c>
      <c r="E121" s="3"/>
      <c r="F121" s="1">
        <v>200.0</v>
      </c>
      <c r="G121" s="2" t="str">
        <f t="shared" si="8"/>
        <v>Omzet</v>
      </c>
      <c r="H121" s="5">
        <f t="shared" si="2"/>
        <v>200</v>
      </c>
      <c r="I121" s="5">
        <f t="shared" si="9"/>
        <v>0</v>
      </c>
      <c r="J121" s="5">
        <f t="shared" si="4"/>
        <v>200</v>
      </c>
      <c r="K121" s="5" t="str">
        <f t="shared" si="5"/>
        <v>2026</v>
      </c>
      <c r="L121" s="5">
        <f t="shared" si="6"/>
        <v>2</v>
      </c>
      <c r="M121" s="6" t="str">
        <f t="shared" si="7"/>
        <v>2026-02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1">
        <v>4.50548161727E11</v>
      </c>
      <c r="B122" s="1" t="s">
        <v>139</v>
      </c>
      <c r="C122" s="1" t="s">
        <v>14</v>
      </c>
      <c r="D122" s="4">
        <v>46074.291666666664</v>
      </c>
      <c r="E122" s="3"/>
      <c r="F122" s="1">
        <v>225.0</v>
      </c>
      <c r="G122" s="2" t="str">
        <f t="shared" si="8"/>
        <v>Verloren</v>
      </c>
      <c r="H122" s="5">
        <f t="shared" si="2"/>
        <v>0</v>
      </c>
      <c r="I122" s="5">
        <f t="shared" si="9"/>
        <v>0</v>
      </c>
      <c r="J122" s="5">
        <f t="shared" si="4"/>
        <v>0</v>
      </c>
      <c r="K122" s="5" t="str">
        <f t="shared" si="5"/>
        <v>2026</v>
      </c>
      <c r="L122" s="5">
        <f t="shared" si="6"/>
        <v>2</v>
      </c>
      <c r="M122" s="6" t="str">
        <f t="shared" si="7"/>
        <v>2026-02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1">
        <v>4.32459904208E11</v>
      </c>
      <c r="B123" s="1" t="s">
        <v>140</v>
      </c>
      <c r="C123" s="1" t="s">
        <v>131</v>
      </c>
      <c r="D123" s="4">
        <v>46074.291666666664</v>
      </c>
      <c r="E123" s="3"/>
      <c r="F123" s="1">
        <v>169.0</v>
      </c>
      <c r="G123" s="2" t="str">
        <f t="shared" si="8"/>
        <v>Omzet</v>
      </c>
      <c r="H123" s="5">
        <f t="shared" si="2"/>
        <v>169</v>
      </c>
      <c r="I123" s="5">
        <f t="shared" si="9"/>
        <v>0</v>
      </c>
      <c r="J123" s="5">
        <f t="shared" si="4"/>
        <v>169</v>
      </c>
      <c r="K123" s="5" t="str">
        <f t="shared" si="5"/>
        <v>2026</v>
      </c>
      <c r="L123" s="5">
        <f t="shared" si="6"/>
        <v>2</v>
      </c>
      <c r="M123" s="6" t="str">
        <f t="shared" si="7"/>
        <v>2026-02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1">
        <v>4.30626144453E11</v>
      </c>
      <c r="B124" s="1" t="s">
        <v>141</v>
      </c>
      <c r="C124" s="1" t="s">
        <v>14</v>
      </c>
      <c r="D124" s="4">
        <v>46074.291666666664</v>
      </c>
      <c r="E124" s="3"/>
      <c r="F124" s="1">
        <v>225.0</v>
      </c>
      <c r="G124" s="2" t="str">
        <f t="shared" si="8"/>
        <v>Verloren</v>
      </c>
      <c r="H124" s="5">
        <f t="shared" si="2"/>
        <v>0</v>
      </c>
      <c r="I124" s="5">
        <f t="shared" si="9"/>
        <v>0</v>
      </c>
      <c r="J124" s="5">
        <f t="shared" si="4"/>
        <v>0</v>
      </c>
      <c r="K124" s="5" t="str">
        <f t="shared" si="5"/>
        <v>2026</v>
      </c>
      <c r="L124" s="5">
        <f t="shared" si="6"/>
        <v>2</v>
      </c>
      <c r="M124" s="6" t="str">
        <f t="shared" si="7"/>
        <v>2026-02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1">
        <v>4.10019276019E11</v>
      </c>
      <c r="B125" s="1" t="s">
        <v>142</v>
      </c>
      <c r="C125" s="1" t="s">
        <v>14</v>
      </c>
      <c r="D125" s="4">
        <v>46074.291666666664</v>
      </c>
      <c r="E125" s="3"/>
      <c r="F125" s="1">
        <v>299.0</v>
      </c>
      <c r="G125" s="2" t="str">
        <f t="shared" si="8"/>
        <v>Verloren</v>
      </c>
      <c r="H125" s="5">
        <f t="shared" si="2"/>
        <v>0</v>
      </c>
      <c r="I125" s="5">
        <f t="shared" si="9"/>
        <v>0</v>
      </c>
      <c r="J125" s="5">
        <f t="shared" si="4"/>
        <v>0</v>
      </c>
      <c r="K125" s="5" t="str">
        <f t="shared" si="5"/>
        <v>2026</v>
      </c>
      <c r="L125" s="5">
        <f t="shared" si="6"/>
        <v>2</v>
      </c>
      <c r="M125" s="6" t="str">
        <f t="shared" si="7"/>
        <v>2026-02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1">
        <v>4.72267359454E11</v>
      </c>
      <c r="B126" s="1" t="s">
        <v>138</v>
      </c>
      <c r="C126" s="1" t="s">
        <v>131</v>
      </c>
      <c r="D126" s="4">
        <v>46073.291666666664</v>
      </c>
      <c r="E126" s="3"/>
      <c r="F126" s="1">
        <v>200.0</v>
      </c>
      <c r="G126" s="2" t="str">
        <f t="shared" si="8"/>
        <v>Omzet</v>
      </c>
      <c r="H126" s="5">
        <f t="shared" si="2"/>
        <v>200</v>
      </c>
      <c r="I126" s="5">
        <f t="shared" si="9"/>
        <v>0</v>
      </c>
      <c r="J126" s="5">
        <f t="shared" si="4"/>
        <v>200</v>
      </c>
      <c r="K126" s="5" t="str">
        <f t="shared" si="5"/>
        <v>2026</v>
      </c>
      <c r="L126" s="5">
        <f t="shared" si="6"/>
        <v>2</v>
      </c>
      <c r="M126" s="6" t="str">
        <f t="shared" si="7"/>
        <v>2026-02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1">
        <v>4.5184821371E11</v>
      </c>
      <c r="B127" s="1" t="s">
        <v>143</v>
      </c>
      <c r="C127" s="1" t="s">
        <v>14</v>
      </c>
      <c r="D127" s="4">
        <v>46073.291666666664</v>
      </c>
      <c r="E127" s="3"/>
      <c r="F127" s="1">
        <v>169.0</v>
      </c>
      <c r="G127" s="2" t="str">
        <f t="shared" si="8"/>
        <v>Verloren</v>
      </c>
      <c r="H127" s="5">
        <f t="shared" si="2"/>
        <v>0</v>
      </c>
      <c r="I127" s="5">
        <f t="shared" si="9"/>
        <v>0</v>
      </c>
      <c r="J127" s="5">
        <f t="shared" si="4"/>
        <v>0</v>
      </c>
      <c r="K127" s="5" t="str">
        <f t="shared" si="5"/>
        <v>2026</v>
      </c>
      <c r="L127" s="5">
        <f t="shared" si="6"/>
        <v>2</v>
      </c>
      <c r="M127" s="6" t="str">
        <f t="shared" si="7"/>
        <v>2026-02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1">
        <v>4.39512655087E11</v>
      </c>
      <c r="B128" s="1" t="s">
        <v>144</v>
      </c>
      <c r="C128" s="1" t="s">
        <v>131</v>
      </c>
      <c r="D128" s="4">
        <v>46073.291666666664</v>
      </c>
      <c r="E128" s="3"/>
      <c r="F128" s="1">
        <v>299.0</v>
      </c>
      <c r="G128" s="2" t="str">
        <f t="shared" si="8"/>
        <v>Omzet</v>
      </c>
      <c r="H128" s="5">
        <f t="shared" si="2"/>
        <v>299</v>
      </c>
      <c r="I128" s="5">
        <f t="shared" si="9"/>
        <v>0</v>
      </c>
      <c r="J128" s="5">
        <f t="shared" si="4"/>
        <v>299</v>
      </c>
      <c r="K128" s="5" t="str">
        <f t="shared" si="5"/>
        <v>2026</v>
      </c>
      <c r="L128" s="5">
        <f t="shared" si="6"/>
        <v>2</v>
      </c>
      <c r="M128" s="6" t="str">
        <f t="shared" si="7"/>
        <v>2026-02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1">
        <v>4.38846331089E11</v>
      </c>
      <c r="B129" s="1" t="s">
        <v>145</v>
      </c>
      <c r="C129" s="1" t="s">
        <v>131</v>
      </c>
      <c r="D129" s="4">
        <v>46073.291666666664</v>
      </c>
      <c r="E129" s="3"/>
      <c r="F129" s="1">
        <v>149.0</v>
      </c>
      <c r="G129" s="2" t="str">
        <f t="shared" si="8"/>
        <v>Omzet</v>
      </c>
      <c r="H129" s="5">
        <f t="shared" si="2"/>
        <v>149</v>
      </c>
      <c r="I129" s="5">
        <f t="shared" si="9"/>
        <v>0</v>
      </c>
      <c r="J129" s="5">
        <f t="shared" si="4"/>
        <v>149</v>
      </c>
      <c r="K129" s="5" t="str">
        <f t="shared" si="5"/>
        <v>2026</v>
      </c>
      <c r="L129" s="5">
        <f t="shared" si="6"/>
        <v>2</v>
      </c>
      <c r="M129" s="6" t="str">
        <f t="shared" si="7"/>
        <v>2026-02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1">
        <v>4.24370274513E11</v>
      </c>
      <c r="B130" s="1" t="s">
        <v>146</v>
      </c>
      <c r="C130" s="1" t="s">
        <v>14</v>
      </c>
      <c r="D130" s="4">
        <v>46073.291666666664</v>
      </c>
      <c r="E130" s="3"/>
      <c r="F130" s="1">
        <v>299.0</v>
      </c>
      <c r="G130" s="2" t="str">
        <f t="shared" si="8"/>
        <v>Verloren</v>
      </c>
      <c r="H130" s="5">
        <f t="shared" si="2"/>
        <v>0</v>
      </c>
      <c r="I130" s="5">
        <f t="shared" si="9"/>
        <v>0</v>
      </c>
      <c r="J130" s="5">
        <f t="shared" si="4"/>
        <v>0</v>
      </c>
      <c r="K130" s="5" t="str">
        <f t="shared" si="5"/>
        <v>2026</v>
      </c>
      <c r="L130" s="5">
        <f t="shared" si="6"/>
        <v>2</v>
      </c>
      <c r="M130" s="6" t="str">
        <f t="shared" si="7"/>
        <v>2026-02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">
        <v>3.67553806571E11</v>
      </c>
      <c r="B131" s="1" t="s">
        <v>147</v>
      </c>
      <c r="C131" s="1" t="s">
        <v>14</v>
      </c>
      <c r="D131" s="4">
        <v>46073.291666666664</v>
      </c>
      <c r="E131" s="3"/>
      <c r="F131" s="1">
        <v>149.0</v>
      </c>
      <c r="G131" s="2" t="str">
        <f t="shared" si="8"/>
        <v>Verloren</v>
      </c>
      <c r="H131" s="5">
        <f t="shared" si="2"/>
        <v>0</v>
      </c>
      <c r="I131" s="5">
        <f t="shared" si="9"/>
        <v>0</v>
      </c>
      <c r="J131" s="5">
        <f t="shared" si="4"/>
        <v>0</v>
      </c>
      <c r="K131" s="5" t="str">
        <f t="shared" si="5"/>
        <v>2026</v>
      </c>
      <c r="L131" s="5">
        <f t="shared" si="6"/>
        <v>2</v>
      </c>
      <c r="M131" s="6" t="str">
        <f t="shared" si="7"/>
        <v>2026-02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1">
        <v>4.68367807717E11</v>
      </c>
      <c r="B132" s="1" t="s">
        <v>148</v>
      </c>
      <c r="C132" s="1" t="s">
        <v>14</v>
      </c>
      <c r="D132" s="4">
        <v>46068.291666666664</v>
      </c>
      <c r="E132" s="3"/>
      <c r="F132" s="1">
        <v>169.0</v>
      </c>
      <c r="G132" s="2" t="str">
        <f t="shared" si="8"/>
        <v>Verloren</v>
      </c>
      <c r="H132" s="5">
        <f t="shared" si="2"/>
        <v>0</v>
      </c>
      <c r="I132" s="5">
        <f t="shared" si="9"/>
        <v>0</v>
      </c>
      <c r="J132" s="5">
        <f t="shared" si="4"/>
        <v>0</v>
      </c>
      <c r="K132" s="5" t="str">
        <f t="shared" si="5"/>
        <v>2026</v>
      </c>
      <c r="L132" s="5">
        <f t="shared" si="6"/>
        <v>2</v>
      </c>
      <c r="M132" s="6" t="str">
        <f t="shared" si="7"/>
        <v>2026-02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1">
        <v>4.608904522E11</v>
      </c>
      <c r="B133" s="1" t="s">
        <v>149</v>
      </c>
      <c r="C133" s="1" t="s">
        <v>14</v>
      </c>
      <c r="D133" s="4">
        <v>46067.291666666664</v>
      </c>
      <c r="E133" s="3"/>
      <c r="F133" s="1">
        <v>225.0</v>
      </c>
      <c r="G133" s="2" t="str">
        <f t="shared" si="8"/>
        <v>Verloren</v>
      </c>
      <c r="H133" s="5">
        <f t="shared" si="2"/>
        <v>0</v>
      </c>
      <c r="I133" s="5">
        <f t="shared" si="9"/>
        <v>0</v>
      </c>
      <c r="J133" s="5">
        <f t="shared" si="4"/>
        <v>0</v>
      </c>
      <c r="K133" s="5" t="str">
        <f t="shared" si="5"/>
        <v>2026</v>
      </c>
      <c r="L133" s="5">
        <f t="shared" si="6"/>
        <v>2</v>
      </c>
      <c r="M133" s="6" t="str">
        <f t="shared" si="7"/>
        <v>2026-02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1">
        <v>4.43372691648E11</v>
      </c>
      <c r="B134" s="1" t="s">
        <v>150</v>
      </c>
      <c r="C134" s="1" t="s">
        <v>131</v>
      </c>
      <c r="D134" s="4">
        <v>46067.291666666664</v>
      </c>
      <c r="E134" s="3"/>
      <c r="F134" s="1">
        <v>299.0</v>
      </c>
      <c r="G134" s="2" t="str">
        <f t="shared" si="8"/>
        <v>Omzet</v>
      </c>
      <c r="H134" s="5">
        <f t="shared" si="2"/>
        <v>299</v>
      </c>
      <c r="I134" s="5">
        <f t="shared" si="9"/>
        <v>0</v>
      </c>
      <c r="J134" s="5">
        <f t="shared" si="4"/>
        <v>299</v>
      </c>
      <c r="K134" s="5" t="str">
        <f t="shared" si="5"/>
        <v>2026</v>
      </c>
      <c r="L134" s="5">
        <f t="shared" si="6"/>
        <v>2</v>
      </c>
      <c r="M134" s="6" t="str">
        <f t="shared" si="7"/>
        <v>2026-02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1">
        <v>4.29824340213E11</v>
      </c>
      <c r="B135" s="1" t="s">
        <v>151</v>
      </c>
      <c r="C135" s="1" t="s">
        <v>14</v>
      </c>
      <c r="D135" s="4">
        <v>46067.291666666664</v>
      </c>
      <c r="E135" s="3"/>
      <c r="F135" s="1">
        <v>299.0</v>
      </c>
      <c r="G135" s="2" t="str">
        <f t="shared" si="8"/>
        <v>Verloren</v>
      </c>
      <c r="H135" s="5">
        <f t="shared" si="2"/>
        <v>0</v>
      </c>
      <c r="I135" s="5">
        <f t="shared" si="9"/>
        <v>0</v>
      </c>
      <c r="J135" s="5">
        <f t="shared" si="4"/>
        <v>0</v>
      </c>
      <c r="K135" s="5" t="str">
        <f t="shared" si="5"/>
        <v>2026</v>
      </c>
      <c r="L135" s="5">
        <f t="shared" si="6"/>
        <v>2</v>
      </c>
      <c r="M135" s="6" t="str">
        <f t="shared" si="7"/>
        <v>2026-02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1">
        <v>3.59431691451E11</v>
      </c>
      <c r="B136" s="1" t="s">
        <v>152</v>
      </c>
      <c r="C136" s="1" t="s">
        <v>14</v>
      </c>
      <c r="D136" s="4">
        <v>46067.291666666664</v>
      </c>
      <c r="E136" s="3"/>
      <c r="F136" s="1">
        <v>149.0</v>
      </c>
      <c r="G136" s="2" t="str">
        <f t="shared" si="8"/>
        <v>Verloren</v>
      </c>
      <c r="H136" s="5">
        <f t="shared" si="2"/>
        <v>0</v>
      </c>
      <c r="I136" s="5">
        <f t="shared" si="9"/>
        <v>0</v>
      </c>
      <c r="J136" s="5">
        <f t="shared" si="4"/>
        <v>0</v>
      </c>
      <c r="K136" s="5" t="str">
        <f t="shared" si="5"/>
        <v>2026</v>
      </c>
      <c r="L136" s="5">
        <f t="shared" si="6"/>
        <v>2</v>
      </c>
      <c r="M136" s="6" t="str">
        <f t="shared" si="7"/>
        <v>2026-02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1">
        <v>4.50972522694E11</v>
      </c>
      <c r="B137" s="1" t="s">
        <v>153</v>
      </c>
      <c r="C137" s="1" t="s">
        <v>14</v>
      </c>
      <c r="D137" s="4">
        <v>46066.291666666664</v>
      </c>
      <c r="E137" s="3"/>
      <c r="F137" s="1">
        <v>225.0</v>
      </c>
      <c r="G137" s="2" t="str">
        <f t="shared" si="8"/>
        <v>Verloren</v>
      </c>
      <c r="H137" s="5">
        <f t="shared" si="2"/>
        <v>0</v>
      </c>
      <c r="I137" s="5">
        <f t="shared" si="9"/>
        <v>0</v>
      </c>
      <c r="J137" s="5">
        <f t="shared" si="4"/>
        <v>0</v>
      </c>
      <c r="K137" s="5" t="str">
        <f t="shared" si="5"/>
        <v>2026</v>
      </c>
      <c r="L137" s="5">
        <f t="shared" si="6"/>
        <v>2</v>
      </c>
      <c r="M137" s="6" t="str">
        <f t="shared" si="7"/>
        <v>2026-02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1">
        <v>4.51210219706E11</v>
      </c>
      <c r="B138" s="1" t="s">
        <v>154</v>
      </c>
      <c r="C138" s="1" t="s">
        <v>131</v>
      </c>
      <c r="D138" s="4">
        <v>46061.785416666666</v>
      </c>
      <c r="E138" s="1" t="s">
        <v>81</v>
      </c>
      <c r="F138" s="1">
        <v>299.0</v>
      </c>
      <c r="G138" s="2" t="str">
        <f t="shared" si="8"/>
        <v>Omzet</v>
      </c>
      <c r="H138" s="5">
        <f t="shared" si="2"/>
        <v>299</v>
      </c>
      <c r="I138" s="5">
        <f t="shared" si="9"/>
        <v>0</v>
      </c>
      <c r="J138" s="5">
        <f t="shared" si="4"/>
        <v>299</v>
      </c>
      <c r="K138" s="5" t="str">
        <f t="shared" si="5"/>
        <v>2026</v>
      </c>
      <c r="L138" s="5">
        <f t="shared" si="6"/>
        <v>2</v>
      </c>
      <c r="M138" s="6" t="str">
        <f t="shared" si="7"/>
        <v>2026-02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1">
        <v>4.49553153242E11</v>
      </c>
      <c r="B139" s="1" t="s">
        <v>155</v>
      </c>
      <c r="C139" s="1" t="s">
        <v>14</v>
      </c>
      <c r="D139" s="4">
        <v>46061.291666666664</v>
      </c>
      <c r="E139" s="3"/>
      <c r="F139" s="1">
        <v>299.0</v>
      </c>
      <c r="G139" s="2" t="str">
        <f t="shared" si="8"/>
        <v>Verloren</v>
      </c>
      <c r="H139" s="5">
        <f t="shared" si="2"/>
        <v>0</v>
      </c>
      <c r="I139" s="5">
        <f t="shared" si="9"/>
        <v>0</v>
      </c>
      <c r="J139" s="5">
        <f t="shared" si="4"/>
        <v>0</v>
      </c>
      <c r="K139" s="5" t="str">
        <f t="shared" si="5"/>
        <v>2026</v>
      </c>
      <c r="L139" s="5">
        <f t="shared" si="6"/>
        <v>2</v>
      </c>
      <c r="M139" s="6" t="str">
        <f t="shared" si="7"/>
        <v>2026-02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1">
        <v>4.35332248793E11</v>
      </c>
      <c r="B140" s="1" t="s">
        <v>156</v>
      </c>
      <c r="C140" s="1" t="s">
        <v>14</v>
      </c>
      <c r="D140" s="4">
        <v>46061.291666666664</v>
      </c>
      <c r="E140" s="3"/>
      <c r="F140" s="1">
        <v>299.0</v>
      </c>
      <c r="G140" s="2" t="str">
        <f t="shared" si="8"/>
        <v>Verloren</v>
      </c>
      <c r="H140" s="5">
        <f t="shared" si="2"/>
        <v>0</v>
      </c>
      <c r="I140" s="5">
        <f t="shared" si="9"/>
        <v>0</v>
      </c>
      <c r="J140" s="5">
        <f t="shared" si="4"/>
        <v>0</v>
      </c>
      <c r="K140" s="5" t="str">
        <f t="shared" si="5"/>
        <v>2026</v>
      </c>
      <c r="L140" s="5">
        <f t="shared" si="6"/>
        <v>2</v>
      </c>
      <c r="M140" s="6" t="str">
        <f t="shared" si="7"/>
        <v>2026-02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1">
        <v>4.48052208843E11</v>
      </c>
      <c r="B141" s="1" t="s">
        <v>157</v>
      </c>
      <c r="C141" s="1" t="s">
        <v>14</v>
      </c>
      <c r="D141" s="4">
        <v>46060.291666666664</v>
      </c>
      <c r="E141" s="3"/>
      <c r="F141" s="1">
        <v>299.0</v>
      </c>
      <c r="G141" s="2" t="str">
        <f t="shared" si="8"/>
        <v>Verloren</v>
      </c>
      <c r="H141" s="5">
        <f t="shared" si="2"/>
        <v>0</v>
      </c>
      <c r="I141" s="5">
        <f t="shared" si="9"/>
        <v>0</v>
      </c>
      <c r="J141" s="5">
        <f t="shared" si="4"/>
        <v>0</v>
      </c>
      <c r="K141" s="5" t="str">
        <f t="shared" si="5"/>
        <v>2026</v>
      </c>
      <c r="L141" s="5">
        <f t="shared" si="6"/>
        <v>2</v>
      </c>
      <c r="M141" s="6" t="str">
        <f t="shared" si="7"/>
        <v>2026-02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1">
        <v>4.45458285758E11</v>
      </c>
      <c r="B142" s="1" t="s">
        <v>158</v>
      </c>
      <c r="C142" s="1" t="s">
        <v>131</v>
      </c>
      <c r="D142" s="4">
        <v>46060.291666666664</v>
      </c>
      <c r="E142" s="3"/>
      <c r="F142" s="1">
        <v>299.0</v>
      </c>
      <c r="G142" s="2" t="str">
        <f t="shared" si="8"/>
        <v>Omzet</v>
      </c>
      <c r="H142" s="5">
        <f t="shared" si="2"/>
        <v>299</v>
      </c>
      <c r="I142" s="5">
        <f t="shared" si="9"/>
        <v>0</v>
      </c>
      <c r="J142" s="5">
        <f t="shared" si="4"/>
        <v>299</v>
      </c>
      <c r="K142" s="5" t="str">
        <f t="shared" si="5"/>
        <v>2026</v>
      </c>
      <c r="L142" s="5">
        <f t="shared" si="6"/>
        <v>2</v>
      </c>
      <c r="M142" s="6" t="str">
        <f t="shared" si="7"/>
        <v>2026-02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1">
        <v>3.95710409943E11</v>
      </c>
      <c r="B143" s="1" t="s">
        <v>159</v>
      </c>
      <c r="C143" s="1" t="s">
        <v>14</v>
      </c>
      <c r="D143" s="4">
        <v>46060.291666666664</v>
      </c>
      <c r="E143" s="3"/>
      <c r="F143" s="1">
        <v>299.0</v>
      </c>
      <c r="G143" s="2" t="str">
        <f t="shared" si="8"/>
        <v>Verloren</v>
      </c>
      <c r="H143" s="5">
        <f t="shared" si="2"/>
        <v>0</v>
      </c>
      <c r="I143" s="5">
        <f t="shared" si="9"/>
        <v>0</v>
      </c>
      <c r="J143" s="5">
        <f t="shared" si="4"/>
        <v>0</v>
      </c>
      <c r="K143" s="5" t="str">
        <f t="shared" si="5"/>
        <v>2026</v>
      </c>
      <c r="L143" s="5">
        <f t="shared" si="6"/>
        <v>2</v>
      </c>
      <c r="M143" s="6" t="str">
        <f t="shared" si="7"/>
        <v>2026-02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1">
        <v>4.22349661373E11</v>
      </c>
      <c r="B144" s="1" t="s">
        <v>160</v>
      </c>
      <c r="C144" s="1" t="s">
        <v>14</v>
      </c>
      <c r="D144" s="4">
        <v>46059.291666666664</v>
      </c>
      <c r="E144" s="3"/>
      <c r="F144" s="1">
        <v>299.0</v>
      </c>
      <c r="G144" s="2" t="str">
        <f t="shared" si="8"/>
        <v>Verloren</v>
      </c>
      <c r="H144" s="5">
        <f t="shared" si="2"/>
        <v>0</v>
      </c>
      <c r="I144" s="5">
        <f t="shared" si="9"/>
        <v>0</v>
      </c>
      <c r="J144" s="5">
        <f t="shared" si="4"/>
        <v>0</v>
      </c>
      <c r="K144" s="5" t="str">
        <f t="shared" si="5"/>
        <v>2026</v>
      </c>
      <c r="L144" s="5">
        <f t="shared" si="6"/>
        <v>2</v>
      </c>
      <c r="M144" s="6" t="str">
        <f t="shared" si="7"/>
        <v>2026-02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1">
        <v>3.77613352147E11</v>
      </c>
      <c r="B145" s="1" t="s">
        <v>161</v>
      </c>
      <c r="C145" s="1" t="s">
        <v>14</v>
      </c>
      <c r="D145" s="4">
        <v>46059.291666666664</v>
      </c>
      <c r="E145" s="3"/>
      <c r="F145" s="1">
        <v>599.0</v>
      </c>
      <c r="G145" s="2" t="str">
        <f t="shared" si="8"/>
        <v>Verloren</v>
      </c>
      <c r="H145" s="5">
        <f t="shared" si="2"/>
        <v>0</v>
      </c>
      <c r="I145" s="5">
        <f t="shared" si="9"/>
        <v>0</v>
      </c>
      <c r="J145" s="5">
        <f t="shared" si="4"/>
        <v>0</v>
      </c>
      <c r="K145" s="5" t="str">
        <f t="shared" si="5"/>
        <v>2026</v>
      </c>
      <c r="L145" s="5">
        <f t="shared" si="6"/>
        <v>2</v>
      </c>
      <c r="M145" s="6" t="str">
        <f t="shared" si="7"/>
        <v>2026-02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1">
        <v>3.68736329969E11</v>
      </c>
      <c r="B146" s="1" t="s">
        <v>162</v>
      </c>
      <c r="C146" s="1" t="s">
        <v>131</v>
      </c>
      <c r="D146" s="4">
        <v>46059.291666666664</v>
      </c>
      <c r="E146" s="3"/>
      <c r="F146" s="1">
        <v>299.0</v>
      </c>
      <c r="G146" s="2" t="str">
        <f t="shared" si="8"/>
        <v>Omzet</v>
      </c>
      <c r="H146" s="5">
        <f t="shared" si="2"/>
        <v>299</v>
      </c>
      <c r="I146" s="5">
        <f t="shared" si="9"/>
        <v>0</v>
      </c>
      <c r="J146" s="5">
        <f t="shared" si="4"/>
        <v>299</v>
      </c>
      <c r="K146" s="5" t="str">
        <f t="shared" si="5"/>
        <v>2026</v>
      </c>
      <c r="L146" s="5">
        <f t="shared" si="6"/>
        <v>2</v>
      </c>
      <c r="M146" s="6" t="str">
        <f t="shared" si="7"/>
        <v>2026-02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1">
        <v>4.52206451911E11</v>
      </c>
      <c r="B147" s="1" t="s">
        <v>163</v>
      </c>
      <c r="C147" s="1" t="s">
        <v>14</v>
      </c>
      <c r="D147" s="4">
        <v>46058.291666666664</v>
      </c>
      <c r="E147" s="3"/>
      <c r="F147" s="1">
        <v>169.0</v>
      </c>
      <c r="G147" s="2" t="str">
        <f t="shared" si="8"/>
        <v>Verloren</v>
      </c>
      <c r="H147" s="5">
        <f t="shared" si="2"/>
        <v>0</v>
      </c>
      <c r="I147" s="5">
        <f t="shared" si="9"/>
        <v>0</v>
      </c>
      <c r="J147" s="5">
        <f t="shared" si="4"/>
        <v>0</v>
      </c>
      <c r="K147" s="5" t="str">
        <f t="shared" si="5"/>
        <v>2026</v>
      </c>
      <c r="L147" s="5">
        <f t="shared" si="6"/>
        <v>2</v>
      </c>
      <c r="M147" s="6" t="str">
        <f t="shared" si="7"/>
        <v>2026-02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1">
        <v>3.75042177232E11</v>
      </c>
      <c r="B148" s="1" t="s">
        <v>164</v>
      </c>
      <c r="C148" s="1" t="s">
        <v>14</v>
      </c>
      <c r="D148" s="4">
        <v>46054.291666666664</v>
      </c>
      <c r="E148" s="3"/>
      <c r="F148" s="1">
        <v>939.0</v>
      </c>
      <c r="G148" s="2" t="str">
        <f t="shared" si="8"/>
        <v>Verloren</v>
      </c>
      <c r="H148" s="5">
        <f t="shared" si="2"/>
        <v>0</v>
      </c>
      <c r="I148" s="5">
        <f t="shared" si="9"/>
        <v>0</v>
      </c>
      <c r="J148" s="5">
        <f t="shared" si="4"/>
        <v>0</v>
      </c>
      <c r="K148" s="5" t="str">
        <f t="shared" si="5"/>
        <v>2026</v>
      </c>
      <c r="L148" s="5">
        <f t="shared" si="6"/>
        <v>2</v>
      </c>
      <c r="M148" s="6" t="str">
        <f t="shared" si="7"/>
        <v>2026-02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1">
        <v>4.24220080374E11</v>
      </c>
      <c r="B149" s="1" t="s">
        <v>165</v>
      </c>
      <c r="C149" s="1" t="s">
        <v>14</v>
      </c>
      <c r="D149" s="4">
        <v>46053.291666666664</v>
      </c>
      <c r="E149" s="3"/>
      <c r="F149" s="1">
        <v>225.0</v>
      </c>
      <c r="G149" s="2" t="str">
        <f t="shared" si="8"/>
        <v>Verloren</v>
      </c>
      <c r="H149" s="5">
        <f t="shared" si="2"/>
        <v>0</v>
      </c>
      <c r="I149" s="5">
        <f t="shared" si="9"/>
        <v>0</v>
      </c>
      <c r="J149" s="5">
        <f t="shared" si="4"/>
        <v>0</v>
      </c>
      <c r="K149" s="5" t="str">
        <f t="shared" si="5"/>
        <v>2026</v>
      </c>
      <c r="L149" s="5">
        <f t="shared" si="6"/>
        <v>1</v>
      </c>
      <c r="M149" s="6" t="str">
        <f t="shared" si="7"/>
        <v>2026-01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1">
        <v>3.12727985391E11</v>
      </c>
      <c r="B150" s="1" t="s">
        <v>166</v>
      </c>
      <c r="C150" s="1" t="s">
        <v>14</v>
      </c>
      <c r="D150" s="4">
        <v>46053.291666666664</v>
      </c>
      <c r="E150" s="3"/>
      <c r="F150" s="1">
        <v>499.0</v>
      </c>
      <c r="G150" s="2" t="str">
        <f t="shared" si="8"/>
        <v>Verloren</v>
      </c>
      <c r="H150" s="5">
        <f t="shared" si="2"/>
        <v>0</v>
      </c>
      <c r="I150" s="5">
        <f t="shared" si="9"/>
        <v>0</v>
      </c>
      <c r="J150" s="5">
        <f t="shared" si="4"/>
        <v>0</v>
      </c>
      <c r="K150" s="5" t="str">
        <f t="shared" si="5"/>
        <v>2026</v>
      </c>
      <c r="L150" s="5">
        <f t="shared" si="6"/>
        <v>1</v>
      </c>
      <c r="M150" s="6" t="str">
        <f t="shared" si="7"/>
        <v>2026-01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1">
        <v>4.47357050071E11</v>
      </c>
      <c r="B151" s="1" t="s">
        <v>167</v>
      </c>
      <c r="C151" s="1" t="s">
        <v>14</v>
      </c>
      <c r="D151" s="4">
        <v>46052.291666666664</v>
      </c>
      <c r="E151" s="3"/>
      <c r="F151" s="1">
        <v>225.0</v>
      </c>
      <c r="G151" s="2" t="str">
        <f t="shared" si="8"/>
        <v>Verloren</v>
      </c>
      <c r="H151" s="5">
        <f t="shared" si="2"/>
        <v>0</v>
      </c>
      <c r="I151" s="5">
        <f t="shared" si="9"/>
        <v>0</v>
      </c>
      <c r="J151" s="5">
        <f t="shared" si="4"/>
        <v>0</v>
      </c>
      <c r="K151" s="5" t="str">
        <f t="shared" si="5"/>
        <v>2026</v>
      </c>
      <c r="L151" s="5">
        <f t="shared" si="6"/>
        <v>1</v>
      </c>
      <c r="M151" s="6" t="str">
        <f t="shared" si="7"/>
        <v>2026-01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1">
        <v>4.45175254236E11</v>
      </c>
      <c r="B152" s="1" t="s">
        <v>168</v>
      </c>
      <c r="C152" s="1" t="s">
        <v>14</v>
      </c>
      <c r="D152" s="4">
        <v>46046.291666666664</v>
      </c>
      <c r="E152" s="3"/>
      <c r="F152" s="1">
        <v>225.0</v>
      </c>
      <c r="G152" s="2" t="str">
        <f t="shared" si="8"/>
        <v>Verloren</v>
      </c>
      <c r="H152" s="5">
        <f t="shared" si="2"/>
        <v>0</v>
      </c>
      <c r="I152" s="5">
        <f t="shared" si="9"/>
        <v>0</v>
      </c>
      <c r="J152" s="5">
        <f t="shared" si="4"/>
        <v>0</v>
      </c>
      <c r="K152" s="5" t="str">
        <f t="shared" si="5"/>
        <v>2026</v>
      </c>
      <c r="L152" s="5">
        <f t="shared" si="6"/>
        <v>1</v>
      </c>
      <c r="M152" s="6" t="str">
        <f t="shared" si="7"/>
        <v>2026-01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1">
        <v>4.43040643301E11</v>
      </c>
      <c r="B153" s="1" t="s">
        <v>169</v>
      </c>
      <c r="C153" s="1" t="s">
        <v>14</v>
      </c>
      <c r="D153" s="4">
        <v>46046.291666666664</v>
      </c>
      <c r="E153" s="3"/>
      <c r="F153" s="1">
        <v>169.0</v>
      </c>
      <c r="G153" s="2" t="str">
        <f t="shared" si="8"/>
        <v>Verloren</v>
      </c>
      <c r="H153" s="5">
        <f t="shared" si="2"/>
        <v>0</v>
      </c>
      <c r="I153" s="5">
        <f t="shared" si="9"/>
        <v>0</v>
      </c>
      <c r="J153" s="5">
        <f t="shared" si="4"/>
        <v>0</v>
      </c>
      <c r="K153" s="5" t="str">
        <f t="shared" si="5"/>
        <v>2026</v>
      </c>
      <c r="L153" s="5">
        <f t="shared" si="6"/>
        <v>1</v>
      </c>
      <c r="M153" s="6" t="str">
        <f t="shared" si="7"/>
        <v>2026-01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1">
        <v>4.25085617362E11</v>
      </c>
      <c r="B154" s="1" t="s">
        <v>170</v>
      </c>
      <c r="C154" s="1" t="s">
        <v>14</v>
      </c>
      <c r="D154" s="4">
        <v>46046.291666666664</v>
      </c>
      <c r="E154" s="3"/>
      <c r="F154" s="1">
        <v>998.0</v>
      </c>
      <c r="G154" s="2" t="str">
        <f t="shared" si="8"/>
        <v>Verloren</v>
      </c>
      <c r="H154" s="5">
        <f t="shared" si="2"/>
        <v>0</v>
      </c>
      <c r="I154" s="5">
        <f t="shared" si="9"/>
        <v>0</v>
      </c>
      <c r="J154" s="5">
        <f t="shared" si="4"/>
        <v>0</v>
      </c>
      <c r="K154" s="5" t="str">
        <f t="shared" si="5"/>
        <v>2026</v>
      </c>
      <c r="L154" s="5">
        <f t="shared" si="6"/>
        <v>1</v>
      </c>
      <c r="M154" s="6" t="str">
        <f t="shared" si="7"/>
        <v>2026-01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1">
        <v>4.20262969534E11</v>
      </c>
      <c r="B155" s="1" t="s">
        <v>171</v>
      </c>
      <c r="C155" s="1" t="s">
        <v>131</v>
      </c>
      <c r="D155" s="4">
        <v>46046.291666666664</v>
      </c>
      <c r="E155" s="3"/>
      <c r="F155" s="1">
        <v>169.0</v>
      </c>
      <c r="G155" s="2" t="str">
        <f t="shared" si="8"/>
        <v>Omzet</v>
      </c>
      <c r="H155" s="5">
        <f t="shared" si="2"/>
        <v>169</v>
      </c>
      <c r="I155" s="5">
        <f t="shared" si="9"/>
        <v>0</v>
      </c>
      <c r="J155" s="5">
        <f t="shared" si="4"/>
        <v>169</v>
      </c>
      <c r="K155" s="5" t="str">
        <f t="shared" si="5"/>
        <v>2026</v>
      </c>
      <c r="L155" s="5">
        <f t="shared" si="6"/>
        <v>1</v>
      </c>
      <c r="M155" s="6" t="str">
        <f t="shared" si="7"/>
        <v>2026-01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1">
        <v>4.07411313868E11</v>
      </c>
      <c r="B156" s="1" t="s">
        <v>172</v>
      </c>
      <c r="C156" s="1" t="s">
        <v>14</v>
      </c>
      <c r="D156" s="4">
        <v>46046.291666666664</v>
      </c>
      <c r="E156" s="3"/>
      <c r="F156" s="1">
        <v>299.0</v>
      </c>
      <c r="G156" s="2" t="str">
        <f t="shared" si="8"/>
        <v>Verloren</v>
      </c>
      <c r="H156" s="5">
        <f t="shared" si="2"/>
        <v>0</v>
      </c>
      <c r="I156" s="5">
        <f t="shared" si="9"/>
        <v>0</v>
      </c>
      <c r="J156" s="5">
        <f t="shared" si="4"/>
        <v>0</v>
      </c>
      <c r="K156" s="5" t="str">
        <f t="shared" si="5"/>
        <v>2026</v>
      </c>
      <c r="L156" s="5">
        <f t="shared" si="6"/>
        <v>1</v>
      </c>
      <c r="M156" s="6" t="str">
        <f t="shared" si="7"/>
        <v>2026-01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1">
        <v>4.06112188655E11</v>
      </c>
      <c r="B157" s="1" t="s">
        <v>173</v>
      </c>
      <c r="C157" s="1" t="s">
        <v>14</v>
      </c>
      <c r="D157" s="4">
        <v>46046.291666666664</v>
      </c>
      <c r="E157" s="3"/>
      <c r="F157" s="1">
        <v>225.0</v>
      </c>
      <c r="G157" s="2" t="str">
        <f t="shared" si="8"/>
        <v>Verloren</v>
      </c>
      <c r="H157" s="5">
        <f t="shared" si="2"/>
        <v>0</v>
      </c>
      <c r="I157" s="5">
        <f t="shared" si="9"/>
        <v>0</v>
      </c>
      <c r="J157" s="5">
        <f t="shared" si="4"/>
        <v>0</v>
      </c>
      <c r="K157" s="5" t="str">
        <f t="shared" si="5"/>
        <v>2026</v>
      </c>
      <c r="L157" s="5">
        <f t="shared" si="6"/>
        <v>1</v>
      </c>
      <c r="M157" s="6" t="str">
        <f t="shared" si="7"/>
        <v>2026-01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1">
        <v>3.34805591228E11</v>
      </c>
      <c r="B158" s="1" t="s">
        <v>174</v>
      </c>
      <c r="C158" s="1" t="s">
        <v>14</v>
      </c>
      <c r="D158" s="4">
        <v>46046.291666666664</v>
      </c>
      <c r="E158" s="3"/>
      <c r="F158" s="1">
        <v>299.0</v>
      </c>
      <c r="G158" s="2" t="str">
        <f t="shared" si="8"/>
        <v>Verloren</v>
      </c>
      <c r="H158" s="5">
        <f t="shared" si="2"/>
        <v>0</v>
      </c>
      <c r="I158" s="5">
        <f t="shared" si="9"/>
        <v>0</v>
      </c>
      <c r="J158" s="5">
        <f t="shared" si="4"/>
        <v>0</v>
      </c>
      <c r="K158" s="5" t="str">
        <f t="shared" si="5"/>
        <v>2026</v>
      </c>
      <c r="L158" s="5">
        <f t="shared" si="6"/>
        <v>1</v>
      </c>
      <c r="M158" s="6" t="str">
        <f t="shared" si="7"/>
        <v>2026-01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">
        <v>3.65041805545E11</v>
      </c>
      <c r="B159" s="1" t="s">
        <v>175</v>
      </c>
      <c r="C159" s="1" t="s">
        <v>14</v>
      </c>
      <c r="D159" s="4">
        <v>46043.291666666664</v>
      </c>
      <c r="E159" s="3"/>
      <c r="F159" s="1">
        <v>149.0</v>
      </c>
      <c r="G159" s="2" t="str">
        <f t="shared" si="8"/>
        <v>Verloren</v>
      </c>
      <c r="H159" s="5">
        <f t="shared" si="2"/>
        <v>0</v>
      </c>
      <c r="I159" s="5">
        <f t="shared" si="9"/>
        <v>0</v>
      </c>
      <c r="J159" s="5">
        <f t="shared" si="4"/>
        <v>0</v>
      </c>
      <c r="K159" s="5" t="str">
        <f t="shared" si="5"/>
        <v>2026</v>
      </c>
      <c r="L159" s="5">
        <f t="shared" si="6"/>
        <v>1</v>
      </c>
      <c r="M159" s="6" t="str">
        <f t="shared" si="7"/>
        <v>2026-01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1">
        <v>4.02757018844E11</v>
      </c>
      <c r="B160" s="1" t="s">
        <v>176</v>
      </c>
      <c r="C160" s="1" t="s">
        <v>14</v>
      </c>
      <c r="D160" s="4">
        <v>46042.291666666664</v>
      </c>
      <c r="E160" s="3"/>
      <c r="F160" s="1">
        <v>149.0</v>
      </c>
      <c r="G160" s="2" t="str">
        <f t="shared" si="8"/>
        <v>Verloren</v>
      </c>
      <c r="H160" s="5">
        <f t="shared" si="2"/>
        <v>0</v>
      </c>
      <c r="I160" s="5">
        <f t="shared" si="9"/>
        <v>0</v>
      </c>
      <c r="J160" s="5">
        <f t="shared" si="4"/>
        <v>0</v>
      </c>
      <c r="K160" s="5" t="str">
        <f t="shared" si="5"/>
        <v>2026</v>
      </c>
      <c r="L160" s="5">
        <f t="shared" si="6"/>
        <v>1</v>
      </c>
      <c r="M160" s="6" t="str">
        <f t="shared" si="7"/>
        <v>2026-01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1">
        <v>3.89602144442E11</v>
      </c>
      <c r="B161" s="1" t="s">
        <v>177</v>
      </c>
      <c r="C161" s="1" t="s">
        <v>131</v>
      </c>
      <c r="D161" s="4">
        <v>46042.291666666664</v>
      </c>
      <c r="E161" s="3"/>
      <c r="F161" s="1">
        <v>299.0</v>
      </c>
      <c r="G161" s="2" t="str">
        <f t="shared" si="8"/>
        <v>Omzet</v>
      </c>
      <c r="H161" s="5">
        <f t="shared" si="2"/>
        <v>299</v>
      </c>
      <c r="I161" s="5">
        <f t="shared" si="9"/>
        <v>0</v>
      </c>
      <c r="J161" s="5">
        <f t="shared" si="4"/>
        <v>299</v>
      </c>
      <c r="K161" s="5" t="str">
        <f t="shared" si="5"/>
        <v>2026</v>
      </c>
      <c r="L161" s="5">
        <f t="shared" si="6"/>
        <v>1</v>
      </c>
      <c r="M161" s="6" t="str">
        <f t="shared" si="7"/>
        <v>2026-01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1">
        <v>3.71586647254E11</v>
      </c>
      <c r="B162" s="1" t="s">
        <v>178</v>
      </c>
      <c r="C162" s="1" t="s">
        <v>14</v>
      </c>
      <c r="D162" s="4">
        <v>46040.291666666664</v>
      </c>
      <c r="E162" s="3"/>
      <c r="F162" s="1">
        <v>499.0</v>
      </c>
      <c r="G162" s="2" t="str">
        <f t="shared" si="8"/>
        <v>Verloren</v>
      </c>
      <c r="H162" s="5">
        <f t="shared" si="2"/>
        <v>0</v>
      </c>
      <c r="I162" s="5">
        <f t="shared" si="9"/>
        <v>0</v>
      </c>
      <c r="J162" s="5">
        <f t="shared" si="4"/>
        <v>0</v>
      </c>
      <c r="K162" s="5" t="str">
        <f t="shared" si="5"/>
        <v>2026</v>
      </c>
      <c r="L162" s="5">
        <f t="shared" si="6"/>
        <v>1</v>
      </c>
      <c r="M162" s="6" t="str">
        <f t="shared" si="7"/>
        <v>2026-01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1">
        <v>3.20947794123E11</v>
      </c>
      <c r="B163" s="1" t="s">
        <v>179</v>
      </c>
      <c r="C163" s="1" t="s">
        <v>131</v>
      </c>
      <c r="D163" s="4">
        <v>46039.85555555556</v>
      </c>
      <c r="E163" s="1" t="s">
        <v>81</v>
      </c>
      <c r="F163" s="1">
        <v>149.0</v>
      </c>
      <c r="G163" s="2" t="str">
        <f t="shared" si="8"/>
        <v>Omzet</v>
      </c>
      <c r="H163" s="5">
        <f t="shared" si="2"/>
        <v>149</v>
      </c>
      <c r="I163" s="5">
        <f t="shared" si="9"/>
        <v>0</v>
      </c>
      <c r="J163" s="5">
        <f t="shared" si="4"/>
        <v>149</v>
      </c>
      <c r="K163" s="5" t="str">
        <f t="shared" si="5"/>
        <v>2026</v>
      </c>
      <c r="L163" s="5">
        <f t="shared" si="6"/>
        <v>1</v>
      </c>
      <c r="M163" s="6" t="str">
        <f t="shared" si="7"/>
        <v>2026-01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1">
        <v>4.28960148672E11</v>
      </c>
      <c r="B164" s="1" t="s">
        <v>180</v>
      </c>
      <c r="C164" s="1" t="s">
        <v>14</v>
      </c>
      <c r="D164" s="4">
        <v>46039.291666666664</v>
      </c>
      <c r="E164" s="3"/>
      <c r="F164" s="1">
        <v>299.0</v>
      </c>
      <c r="G164" s="2" t="str">
        <f t="shared" si="8"/>
        <v>Verloren</v>
      </c>
      <c r="H164" s="5">
        <f t="shared" si="2"/>
        <v>0</v>
      </c>
      <c r="I164" s="5">
        <f t="shared" si="9"/>
        <v>0</v>
      </c>
      <c r="J164" s="5">
        <f t="shared" si="4"/>
        <v>0</v>
      </c>
      <c r="K164" s="5" t="str">
        <f t="shared" si="5"/>
        <v>2026</v>
      </c>
      <c r="L164" s="5">
        <f t="shared" si="6"/>
        <v>1</v>
      </c>
      <c r="M164" s="6" t="str">
        <f t="shared" si="7"/>
        <v>2026-01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1">
        <v>3.86711034051E11</v>
      </c>
      <c r="B165" s="1" t="s">
        <v>181</v>
      </c>
      <c r="C165" s="1" t="s">
        <v>131</v>
      </c>
      <c r="D165" s="4">
        <v>46037.43819444445</v>
      </c>
      <c r="E165" s="1" t="s">
        <v>81</v>
      </c>
      <c r="F165" s="1">
        <v>950.0</v>
      </c>
      <c r="G165" s="2" t="str">
        <f t="shared" si="8"/>
        <v>Omzet</v>
      </c>
      <c r="H165" s="5">
        <f t="shared" si="2"/>
        <v>950</v>
      </c>
      <c r="I165" s="5">
        <f t="shared" si="9"/>
        <v>0</v>
      </c>
      <c r="J165" s="5">
        <f t="shared" si="4"/>
        <v>950</v>
      </c>
      <c r="K165" s="5" t="str">
        <f t="shared" si="5"/>
        <v>2026</v>
      </c>
      <c r="L165" s="5">
        <f t="shared" si="6"/>
        <v>1</v>
      </c>
      <c r="M165" s="6" t="str">
        <f t="shared" si="7"/>
        <v>2026-01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1">
        <v>3.78589312224E11</v>
      </c>
      <c r="B166" s="1" t="s">
        <v>182</v>
      </c>
      <c r="C166" s="1" t="s">
        <v>14</v>
      </c>
      <c r="D166" s="4">
        <v>46037.291666666664</v>
      </c>
      <c r="E166" s="3"/>
      <c r="F166" s="1">
        <v>149.0</v>
      </c>
      <c r="G166" s="2" t="str">
        <f t="shared" si="8"/>
        <v>Verloren</v>
      </c>
      <c r="H166" s="5">
        <f t="shared" si="2"/>
        <v>0</v>
      </c>
      <c r="I166" s="5">
        <f t="shared" si="9"/>
        <v>0</v>
      </c>
      <c r="J166" s="5">
        <f t="shared" si="4"/>
        <v>0</v>
      </c>
      <c r="K166" s="5" t="str">
        <f t="shared" si="5"/>
        <v>2026</v>
      </c>
      <c r="L166" s="5">
        <f t="shared" si="6"/>
        <v>1</v>
      </c>
      <c r="M166" s="6" t="str">
        <f t="shared" si="7"/>
        <v>2026-01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1">
        <v>4.00107537597E11</v>
      </c>
      <c r="B167" s="1" t="s">
        <v>183</v>
      </c>
      <c r="C167" s="1" t="s">
        <v>131</v>
      </c>
      <c r="D167" s="4">
        <v>46036.291666666664</v>
      </c>
      <c r="E167" s="3"/>
      <c r="F167" s="1">
        <v>374.0</v>
      </c>
      <c r="G167" s="2" t="str">
        <f t="shared" si="8"/>
        <v>Omzet</v>
      </c>
      <c r="H167" s="5">
        <f t="shared" si="2"/>
        <v>374</v>
      </c>
      <c r="I167" s="5">
        <f t="shared" si="9"/>
        <v>0</v>
      </c>
      <c r="J167" s="5">
        <f t="shared" si="4"/>
        <v>374</v>
      </c>
      <c r="K167" s="5" t="str">
        <f t="shared" si="5"/>
        <v>2026</v>
      </c>
      <c r="L167" s="5">
        <f t="shared" si="6"/>
        <v>1</v>
      </c>
      <c r="M167" s="6" t="str">
        <f t="shared" si="7"/>
        <v>2026-01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1">
        <v>4.17375373532E11</v>
      </c>
      <c r="B168" s="1" t="s">
        <v>184</v>
      </c>
      <c r="C168" s="1" t="s">
        <v>14</v>
      </c>
      <c r="D168" s="4">
        <v>46033.291666666664</v>
      </c>
      <c r="E168" s="3"/>
      <c r="F168" s="1">
        <v>225.0</v>
      </c>
      <c r="G168" s="2" t="str">
        <f t="shared" si="8"/>
        <v>Verloren</v>
      </c>
      <c r="H168" s="5">
        <f t="shared" si="2"/>
        <v>0</v>
      </c>
      <c r="I168" s="5">
        <f t="shared" si="9"/>
        <v>0</v>
      </c>
      <c r="J168" s="5">
        <f t="shared" si="4"/>
        <v>0</v>
      </c>
      <c r="K168" s="5" t="str">
        <f t="shared" si="5"/>
        <v>2026</v>
      </c>
      <c r="L168" s="5">
        <f t="shared" si="6"/>
        <v>1</v>
      </c>
      <c r="M168" s="6" t="str">
        <f t="shared" si="7"/>
        <v>2026-01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1">
        <v>4.03988778181E11</v>
      </c>
      <c r="B169" s="1" t="s">
        <v>185</v>
      </c>
      <c r="C169" s="1" t="s">
        <v>131</v>
      </c>
      <c r="D169" s="4">
        <v>46032.83194444444</v>
      </c>
      <c r="E169" s="1" t="s">
        <v>81</v>
      </c>
      <c r="F169" s="1">
        <v>189.0</v>
      </c>
      <c r="G169" s="2" t="str">
        <f t="shared" si="8"/>
        <v>Omzet</v>
      </c>
      <c r="H169" s="5">
        <f t="shared" si="2"/>
        <v>189</v>
      </c>
      <c r="I169" s="5">
        <f t="shared" si="9"/>
        <v>0</v>
      </c>
      <c r="J169" s="5">
        <f t="shared" si="4"/>
        <v>189</v>
      </c>
      <c r="K169" s="5" t="str">
        <f t="shared" si="5"/>
        <v>2026</v>
      </c>
      <c r="L169" s="5">
        <f t="shared" si="6"/>
        <v>1</v>
      </c>
      <c r="M169" s="6" t="str">
        <f t="shared" si="7"/>
        <v>2026-01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1">
        <v>4.0571574291E11</v>
      </c>
      <c r="B170" s="1" t="s">
        <v>186</v>
      </c>
      <c r="C170" s="1" t="s">
        <v>14</v>
      </c>
      <c r="D170" s="4">
        <v>46025.830555555556</v>
      </c>
      <c r="E170" s="1" t="s">
        <v>81</v>
      </c>
      <c r="F170" s="1">
        <v>189.0</v>
      </c>
      <c r="G170" s="2" t="str">
        <f t="shared" si="8"/>
        <v>Verloren</v>
      </c>
      <c r="H170" s="5">
        <f t="shared" si="2"/>
        <v>0</v>
      </c>
      <c r="I170" s="5">
        <f t="shared" si="9"/>
        <v>0</v>
      </c>
      <c r="J170" s="5">
        <f t="shared" si="4"/>
        <v>0</v>
      </c>
      <c r="K170" s="5" t="str">
        <f t="shared" si="5"/>
        <v>2026</v>
      </c>
      <c r="L170" s="5">
        <f t="shared" si="6"/>
        <v>1</v>
      </c>
      <c r="M170" s="6" t="str">
        <f t="shared" si="7"/>
        <v>2026-01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</sheetData>
  <autoFilter ref="$A$1:$AC$170">
    <sortState ref="A1:AC170">
      <sortCondition descending="1" ref="D1:D170"/>
      <sortCondition ref="A1:A170"/>
      <sortCondition descending="1" ref="F1:F170"/>
      <sortCondition descending="1" ref="B1:B17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