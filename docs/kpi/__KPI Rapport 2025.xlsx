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Rapport 2025" sheetId="1" r:id="rId5"/>
  </sheets>
  <definedNames/>
  <calcPr/>
</workbook>
</file>

<file path=xl/sharedStrings.xml><?xml version="1.0" encoding="utf-8"?>
<sst xmlns="http://schemas.openxmlformats.org/spreadsheetml/2006/main" count="26" uniqueCount="22">
  <si>
    <t>Maand</t>
  </si>
  <si>
    <t>Formulier Website</t>
  </si>
  <si>
    <t>Conversie Facebook</t>
  </si>
  <si>
    <t>Facebook Ads EUR</t>
  </si>
  <si>
    <t>Google Ads EUR</t>
  </si>
  <si>
    <t>Advertentie</t>
  </si>
  <si>
    <t>Nieuwe Omzet EUR</t>
  </si>
  <si>
    <t>MoM Groei</t>
  </si>
  <si>
    <t>ROAS</t>
  </si>
  <si>
    <t>Januari</t>
  </si>
  <si>
    <t>**) no data</t>
  </si>
  <si>
    <t>Februari</t>
  </si>
  <si>
    <t xml:space="preserve">Maart </t>
  </si>
  <si>
    <t xml:space="preserve">April </t>
  </si>
  <si>
    <t>Mei</t>
  </si>
  <si>
    <t xml:space="preserve">Juni </t>
  </si>
  <si>
    <t>Juli</t>
  </si>
  <si>
    <t>Augustus</t>
  </si>
  <si>
    <t>September</t>
  </si>
  <si>
    <t>Oktober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</si>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</sst>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vertical="bottom"/>
    </xf>
    <xf borderId="1" fillId="0" fontId="3" numFmtId="2" xfId="0" applyAlignment="1" applyBorder="1" applyFont="1" applyNumberFormat="1">
      <alignment horizontal="right" readingOrder="0" vertical="bottom"/>
    </xf>
    <xf borderId="0" fillId="0" fontId="2" numFmtId="0" xfId="0" applyFont="1"/>
    <xf borderId="1" fillId="0" fontId="3" numFmtId="9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0" fontId="4" numFmtId="2" xfId="0" applyAlignment="1" applyBorder="1" applyFont="1" applyNumberFormat="1">
      <alignment readingOrder="0"/>
    </xf>
    <xf borderId="1" fillId="0" fontId="4" numFmtId="0" xfId="0" applyBorder="1" applyFont="1"/>
    <xf borderId="1" fillId="0" fontId="4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7.25"/>
    <col customWidth="1" min="4" max="4" width="16.38"/>
    <col customWidth="1" min="5" max="9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4">
        <v>26.0</v>
      </c>
      <c r="C2" s="4"/>
      <c r="D2" s="4"/>
      <c r="E2" s="4"/>
      <c r="F2" s="5"/>
      <c r="G2" s="5">
        <v>0.0</v>
      </c>
      <c r="H2" s="5">
        <v>0.0</v>
      </c>
      <c r="I2" s="5" t="s">
        <v>10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11</v>
      </c>
      <c r="B3" s="4">
        <v>21.0</v>
      </c>
      <c r="C3" s="4"/>
      <c r="D3" s="4"/>
      <c r="E3" s="4"/>
      <c r="F3" s="5"/>
      <c r="G3" s="5">
        <v>329.0</v>
      </c>
      <c r="H3" s="7">
        <v>0.0</v>
      </c>
      <c r="I3" s="5" t="s">
        <v>10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12</v>
      </c>
      <c r="B4" s="8">
        <v>30.0</v>
      </c>
      <c r="C4" s="8"/>
      <c r="D4" s="8"/>
      <c r="E4" s="8"/>
      <c r="F4" s="9"/>
      <c r="G4" s="9">
        <v>2930.0</v>
      </c>
      <c r="H4" s="7">
        <f t="shared" ref="H4:H13" si="1">(G4-G3)/G3</f>
        <v>7.905775076</v>
      </c>
      <c r="I4" s="5" t="s">
        <v>10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13</v>
      </c>
      <c r="B5" s="10">
        <f>18+2+1</f>
        <v>21</v>
      </c>
      <c r="C5" s="8"/>
      <c r="D5" s="8"/>
      <c r="E5" s="8"/>
      <c r="F5" s="9">
        <v>500.0</v>
      </c>
      <c r="G5" s="9">
        <v>1977.0</v>
      </c>
      <c r="H5" s="7">
        <f t="shared" si="1"/>
        <v>-0.3252559727</v>
      </c>
      <c r="I5" s="9">
        <f t="shared" ref="I5:I8" si="2">G5/F5</f>
        <v>3.954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">
        <v>14</v>
      </c>
      <c r="B6" s="8">
        <f>6</f>
        <v>6</v>
      </c>
      <c r="C6" s="8"/>
      <c r="D6" s="8"/>
      <c r="E6" s="8"/>
      <c r="F6" s="9">
        <f>400+200+50+65</f>
        <v>715</v>
      </c>
      <c r="G6" s="9">
        <v>4653.0</v>
      </c>
      <c r="H6" s="7">
        <f t="shared" si="1"/>
        <v>1.353566009</v>
      </c>
      <c r="I6" s="9">
        <f t="shared" si="2"/>
        <v>6.507692308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 t="s">
        <v>15</v>
      </c>
      <c r="B7" s="8">
        <v>20.0</v>
      </c>
      <c r="C7" s="5" t="s">
        <v>10</v>
      </c>
      <c r="D7" s="8">
        <f>150+50</f>
        <v>200</v>
      </c>
      <c r="E7" s="8">
        <v>92.0</v>
      </c>
      <c r="F7" s="11">
        <f t="shared" ref="F7:F12" si="3">D7+E7</f>
        <v>292</v>
      </c>
      <c r="G7" s="9">
        <v>1960.0</v>
      </c>
      <c r="H7" s="7">
        <f t="shared" si="1"/>
        <v>-0.5787663873</v>
      </c>
      <c r="I7" s="9">
        <f t="shared" si="2"/>
        <v>6.712328767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">
        <v>16</v>
      </c>
      <c r="B8" s="8">
        <f>35+4+1</f>
        <v>40</v>
      </c>
      <c r="C8" s="5" t="s">
        <v>10</v>
      </c>
      <c r="D8" s="8">
        <v>465.0</v>
      </c>
      <c r="E8" s="8">
        <v>72.0</v>
      </c>
      <c r="F8" s="11">
        <f t="shared" si="3"/>
        <v>537</v>
      </c>
      <c r="G8" s="9">
        <v>3510.0</v>
      </c>
      <c r="H8" s="7">
        <f t="shared" si="1"/>
        <v>0.7908163265</v>
      </c>
      <c r="I8" s="9">
        <f t="shared" si="2"/>
        <v>6.536312849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 t="s">
        <v>17</v>
      </c>
      <c r="B9" s="10">
        <f>32+0+8</f>
        <v>40</v>
      </c>
      <c r="C9" s="8">
        <v>27.0</v>
      </c>
      <c r="D9" s="8">
        <v>500.0</v>
      </c>
      <c r="E9" s="8">
        <v>75.0</v>
      </c>
      <c r="F9" s="11">
        <f t="shared" si="3"/>
        <v>575</v>
      </c>
      <c r="G9" s="9">
        <v>3392.0</v>
      </c>
      <c r="H9" s="7">
        <f t="shared" si="1"/>
        <v>-0.03361823362</v>
      </c>
      <c r="I9" s="9">
        <f t="shared" ref="I9:I13" si="4">(G9*(C9/B9))/F9</f>
        <v>3.981913043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">
        <v>18</v>
      </c>
      <c r="B10" s="8">
        <v>47.0</v>
      </c>
      <c r="C10" s="8">
        <v>31.0</v>
      </c>
      <c r="D10" s="8">
        <v>530.0</v>
      </c>
      <c r="E10" s="8">
        <v>65.0</v>
      </c>
      <c r="F10" s="11">
        <f t="shared" si="3"/>
        <v>595</v>
      </c>
      <c r="G10" s="9">
        <v>4400.0</v>
      </c>
      <c r="H10" s="7">
        <f t="shared" si="1"/>
        <v>0.2971698113</v>
      </c>
      <c r="I10" s="9">
        <f t="shared" si="4"/>
        <v>4.877525478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 t="s">
        <v>19</v>
      </c>
      <c r="B11" s="8">
        <f>7+6+1+48</f>
        <v>62</v>
      </c>
      <c r="C11" s="8">
        <v>40.0</v>
      </c>
      <c r="D11" s="8">
        <v>700.0</v>
      </c>
      <c r="E11" s="8">
        <v>75.0</v>
      </c>
      <c r="F11" s="11">
        <f t="shared" si="3"/>
        <v>775</v>
      </c>
      <c r="G11" s="9">
        <v>5500.0</v>
      </c>
      <c r="H11" s="7">
        <f t="shared" si="1"/>
        <v>0.25</v>
      </c>
      <c r="I11" s="9">
        <f t="shared" si="4"/>
        <v>4.578563996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 t="s">
        <v>20</v>
      </c>
      <c r="B12" s="10">
        <f>2+17+2+36</f>
        <v>57</v>
      </c>
      <c r="C12" s="8">
        <v>35.0</v>
      </c>
      <c r="D12" s="8">
        <v>700.0</v>
      </c>
      <c r="E12" s="8">
        <v>75.0</v>
      </c>
      <c r="F12" s="11">
        <f t="shared" si="3"/>
        <v>775</v>
      </c>
      <c r="G12" s="9">
        <v>3770.0</v>
      </c>
      <c r="H12" s="7">
        <f t="shared" si="1"/>
        <v>-0.3145454545</v>
      </c>
      <c r="I12" s="9">
        <f t="shared" si="4"/>
        <v>2.986983588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 t="s">
        <v>21</v>
      </c>
      <c r="B13" s="10">
        <f>15+15+2+0</f>
        <v>32</v>
      </c>
      <c r="C13" s="8">
        <v>20.0</v>
      </c>
      <c r="D13" s="8">
        <v>503.0</v>
      </c>
      <c r="E13" s="8">
        <v>0.0</v>
      </c>
      <c r="F13" s="11">
        <f>E13+D13</f>
        <v>503</v>
      </c>
      <c r="G13" s="9">
        <v>1900.0</v>
      </c>
      <c r="H13" s="7">
        <f t="shared" si="1"/>
        <v>-0.4960212202</v>
      </c>
      <c r="I13" s="9">
        <f t="shared" si="4"/>
        <v>2.36083499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