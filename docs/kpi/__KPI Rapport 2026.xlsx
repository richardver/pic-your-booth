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Rapport 2025" sheetId="1" r:id="rId5"/>
  </sheets>
  <definedNames/>
  <calcPr/>
</workbook>
</file>

<file path=xl/sharedStrings.xml><?xml version="1.0" encoding="utf-8"?>
<sst xmlns="http://schemas.openxmlformats.org/spreadsheetml/2006/main" count="23" uniqueCount="23">
  <si>
    <t>Maand</t>
  </si>
  <si>
    <t>2025 Formulier</t>
  </si>
  <si>
    <t>Formulier Website</t>
  </si>
  <si>
    <t>Conversie Facebook</t>
  </si>
  <si>
    <t>Facebook Ads EUR</t>
  </si>
  <si>
    <t>Google Ads EUR</t>
  </si>
  <si>
    <t>Advertentie</t>
  </si>
  <si>
    <t>2025 Omzet</t>
  </si>
  <si>
    <t>Nieuwe Omzet EUR</t>
  </si>
  <si>
    <t>MoM Groei</t>
  </si>
  <si>
    <t>ROAS</t>
  </si>
  <si>
    <t>Januari</t>
  </si>
  <si>
    <t>Februari</t>
  </si>
  <si>
    <t xml:space="preserve">Maart </t>
  </si>
  <si>
    <t xml:space="preserve">April </t>
  </si>
  <si>
    <t>Mei</t>
  </si>
  <si>
    <t xml:space="preserve">Juni </t>
  </si>
  <si>
    <t>Juli</t>
  </si>
  <si>
    <t>Augustus</t>
  </si>
  <si>
    <t>September</t>
  </si>
  <si>
    <t>Oktober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</si>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</sst>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10.0"/>
      <color theme="1"/>
      <name val="Arial"/>
      <scheme val="minor"/>
    </font>
    <font>
      <i/>
      <sz val="10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i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horizontal="right" readingOrder="0"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2" xfId="0" applyAlignment="1" applyBorder="1" applyFont="1" applyNumberFormat="1">
      <alignment horizontal="right" readingOrder="0" vertical="bottom"/>
    </xf>
    <xf borderId="1" fillId="4" fontId="3" numFmtId="2" xfId="0" applyAlignment="1" applyBorder="1" applyFill="1" applyFont="1" applyNumberFormat="1">
      <alignment horizontal="right" readingOrder="0" vertical="bottom"/>
    </xf>
    <xf borderId="1" fillId="0" fontId="4" numFmtId="9" xfId="0" applyAlignment="1" applyBorder="1" applyFont="1" applyNumberFormat="1">
      <alignment horizontal="right" readingOrder="0" vertical="bottom"/>
    </xf>
    <xf borderId="1" fillId="0" fontId="5" numFmtId="2" xfId="0" applyAlignment="1" applyBorder="1" applyFont="1" applyNumberFormat="1">
      <alignment readingOrder="0"/>
    </xf>
    <xf borderId="0" fillId="0" fontId="2" numFmtId="0" xfId="0" applyFont="1"/>
    <xf borderId="1" fillId="3" fontId="6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4" fontId="6" numFmtId="2" xfId="0" applyAlignment="1" applyBorder="1" applyFont="1" applyNumberFormat="1">
      <alignment readingOrder="0"/>
    </xf>
    <xf borderId="1" fillId="3" fontId="6" numFmtId="0" xfId="0" applyBorder="1" applyFont="1"/>
    <xf borderId="1" fillId="0" fontId="5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9.5"/>
    <col customWidth="1" min="4" max="4" width="17.25"/>
    <col customWidth="1" min="5" max="5" width="16.38"/>
    <col customWidth="1" min="6" max="11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11</v>
      </c>
      <c r="B2" s="4">
        <v>26.0</v>
      </c>
      <c r="C2" s="5">
        <f>5+46+0+21</f>
        <v>72</v>
      </c>
      <c r="D2" s="5">
        <f>34+21</f>
        <v>55</v>
      </c>
      <c r="E2" s="5">
        <v>620.0</v>
      </c>
      <c r="F2" s="5">
        <v>0.0</v>
      </c>
      <c r="G2" s="6">
        <f>sum(E2:F2)</f>
        <v>620</v>
      </c>
      <c r="H2" s="7">
        <v>0.0</v>
      </c>
      <c r="I2" s="6">
        <v>2470.0</v>
      </c>
      <c r="J2" s="8">
        <v>0.0</v>
      </c>
      <c r="K2" s="9">
        <f>(I2*(D2/C2))/G2</f>
        <v>3.043234767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3" t="s">
        <v>12</v>
      </c>
      <c r="B3" s="4">
        <v>21.0</v>
      </c>
      <c r="C3" s="5"/>
      <c r="D3" s="5"/>
      <c r="E3" s="5"/>
      <c r="F3" s="5"/>
      <c r="G3" s="6">
        <v>0.0</v>
      </c>
      <c r="H3" s="7">
        <v>329.0</v>
      </c>
      <c r="I3" s="6">
        <v>0.0</v>
      </c>
      <c r="J3" s="8">
        <v>0.0</v>
      </c>
      <c r="K3" s="9">
        <v>0.0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3" t="s">
        <v>13</v>
      </c>
      <c r="B4" s="11">
        <v>30.0</v>
      </c>
      <c r="C4" s="12"/>
      <c r="D4" s="12"/>
      <c r="E4" s="12"/>
      <c r="F4" s="12"/>
      <c r="G4" s="9">
        <v>0.0</v>
      </c>
      <c r="H4" s="13">
        <v>2930.0</v>
      </c>
      <c r="I4" s="9">
        <v>0.0</v>
      </c>
      <c r="J4" s="8">
        <v>0.0</v>
      </c>
      <c r="K4" s="9">
        <v>0.0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3" t="s">
        <v>14</v>
      </c>
      <c r="B5" s="14">
        <v>21.0</v>
      </c>
      <c r="C5" s="15"/>
      <c r="D5" s="12"/>
      <c r="E5" s="12"/>
      <c r="F5" s="12"/>
      <c r="G5" s="9">
        <v>0.0</v>
      </c>
      <c r="H5" s="13">
        <v>1977.0</v>
      </c>
      <c r="I5" s="9">
        <v>0.0</v>
      </c>
      <c r="J5" s="8">
        <v>0.0</v>
      </c>
      <c r="K5" s="9">
        <v>0.0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3" t="s">
        <v>15</v>
      </c>
      <c r="B6" s="11">
        <v>6.0</v>
      </c>
      <c r="C6" s="12"/>
      <c r="D6" s="12"/>
      <c r="E6" s="12"/>
      <c r="F6" s="12"/>
      <c r="G6" s="9">
        <v>0.0</v>
      </c>
      <c r="H6" s="13">
        <v>4653.0</v>
      </c>
      <c r="I6" s="9">
        <v>0.0</v>
      </c>
      <c r="J6" s="8">
        <v>0.0</v>
      </c>
      <c r="K6" s="9">
        <v>0.0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3" t="s">
        <v>16</v>
      </c>
      <c r="B7" s="11">
        <v>20.0</v>
      </c>
      <c r="C7" s="12"/>
      <c r="D7" s="6"/>
      <c r="E7" s="12"/>
      <c r="F7" s="12"/>
      <c r="G7" s="9">
        <v>0.0</v>
      </c>
      <c r="H7" s="13">
        <v>1960.0</v>
      </c>
      <c r="I7" s="9">
        <v>0.0</v>
      </c>
      <c r="J7" s="8">
        <v>0.0</v>
      </c>
      <c r="K7" s="9">
        <v>0.0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3" t="s">
        <v>17</v>
      </c>
      <c r="B8" s="11">
        <v>40.0</v>
      </c>
      <c r="C8" s="12"/>
      <c r="D8" s="6"/>
      <c r="E8" s="12"/>
      <c r="F8" s="12"/>
      <c r="G8" s="9">
        <v>0.0</v>
      </c>
      <c r="H8" s="13">
        <v>3510.0</v>
      </c>
      <c r="I8" s="9">
        <v>0.0</v>
      </c>
      <c r="J8" s="8">
        <v>0.0</v>
      </c>
      <c r="K8" s="9">
        <v>0.0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3" t="s">
        <v>18</v>
      </c>
      <c r="B9" s="14">
        <v>40.0</v>
      </c>
      <c r="C9" s="15"/>
      <c r="D9" s="12"/>
      <c r="E9" s="12"/>
      <c r="F9" s="12"/>
      <c r="G9" s="9">
        <v>0.0</v>
      </c>
      <c r="H9" s="13">
        <v>3392.0</v>
      </c>
      <c r="I9" s="9">
        <v>0.0</v>
      </c>
      <c r="J9" s="8">
        <v>0.0</v>
      </c>
      <c r="K9" s="9">
        <v>0.0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3" t="s">
        <v>19</v>
      </c>
      <c r="B10" s="11">
        <v>47.0</v>
      </c>
      <c r="C10" s="12"/>
      <c r="D10" s="12"/>
      <c r="E10" s="12"/>
      <c r="F10" s="12"/>
      <c r="G10" s="9">
        <v>0.0</v>
      </c>
      <c r="H10" s="13">
        <v>4400.0</v>
      </c>
      <c r="I10" s="9">
        <v>0.0</v>
      </c>
      <c r="J10" s="8">
        <v>0.0</v>
      </c>
      <c r="K10" s="9">
        <v>0.0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3" t="s">
        <v>20</v>
      </c>
      <c r="B11" s="11">
        <v>62.0</v>
      </c>
      <c r="C11" s="12"/>
      <c r="D11" s="12"/>
      <c r="E11" s="12"/>
      <c r="F11" s="12"/>
      <c r="G11" s="9">
        <v>0.0</v>
      </c>
      <c r="H11" s="13">
        <v>5500.0</v>
      </c>
      <c r="I11" s="9">
        <v>0.0</v>
      </c>
      <c r="J11" s="8">
        <v>0.0</v>
      </c>
      <c r="K11" s="9">
        <v>0.0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3" t="s">
        <v>21</v>
      </c>
      <c r="B12" s="14">
        <v>57.0</v>
      </c>
      <c r="C12" s="15"/>
      <c r="D12" s="12"/>
      <c r="E12" s="12"/>
      <c r="F12" s="12"/>
      <c r="G12" s="9">
        <v>0.0</v>
      </c>
      <c r="H12" s="13">
        <v>3770.0</v>
      </c>
      <c r="I12" s="9">
        <v>0.0</v>
      </c>
      <c r="J12" s="8">
        <v>0.0</v>
      </c>
      <c r="K12" s="9">
        <v>0.0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3" t="s">
        <v>22</v>
      </c>
      <c r="B13" s="11">
        <v>32.0</v>
      </c>
      <c r="C13" s="16"/>
      <c r="D13" s="16"/>
      <c r="E13" s="16"/>
      <c r="F13" s="16"/>
      <c r="G13" s="9">
        <v>0.0</v>
      </c>
      <c r="H13" s="13">
        <v>1900.0</v>
      </c>
      <c r="I13" s="9">
        <v>0.0</v>
      </c>
      <c r="J13" s="8">
        <v>0.0</v>
      </c>
      <c r="K13" s="9">
        <v>0.0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drawing r:id="rId1"/>
</worksheet>
</file>